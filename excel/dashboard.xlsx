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202300"/>
  <mc:AlternateContent xmlns:mc="http://schemas.openxmlformats.org/markup-compatibility/2006">
    <mc:Choice Requires="x15">
      <x15ac:absPath xmlns:x15ac="http://schemas.microsoft.com/office/spreadsheetml/2010/11/ac" url="/Users/varshaponnaganti/Desktop/projects/healthcare/P_HC_1.4_ehr-sql-analysis/excel/"/>
    </mc:Choice>
  </mc:AlternateContent>
  <xr:revisionPtr revIDLastSave="0" documentId="13_ncr:1_{E8432D22-2998-9041-B05B-34483A8058AB}" xr6:coauthVersionLast="47" xr6:coauthVersionMax="47" xr10:uidLastSave="{00000000-0000-0000-0000-000000000000}"/>
  <bookViews>
    <workbookView xWindow="0" yWindow="680" windowWidth="27040" windowHeight="16880" activeTab="5" xr2:uid="{9885495B-03E2-E040-A250-3A95F6062DEF}"/>
  </bookViews>
  <sheets>
    <sheet name="diagnoses_icd" sheetId="4" r:id="rId1"/>
    <sheet name="Mortality_Analysis" sheetId="5" r:id="rId2"/>
    <sheet name="top_diseases" sheetId="6" r:id="rId3"/>
    <sheet name="admissions" sheetId="3" r:id="rId4"/>
    <sheet name="patients" sheetId="2" r:id="rId5"/>
    <sheet name="Dashboard" sheetId="1" r:id="rId6"/>
  </sheets>
  <definedNames>
    <definedName name="ExternalData_1" localSheetId="4" hidden="1">patients!$A$1:$F$101</definedName>
    <definedName name="ExternalData_2" localSheetId="3" hidden="1">admissions!$A$1:$P$276</definedName>
    <definedName name="ExternalData_3" localSheetId="0" hidden="1">diagnoses_icd!$A$1:$E$4507</definedName>
    <definedName name="Slicer_gender">#N/A</definedName>
  </definedNames>
  <calcPr calcId="18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C6" i="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6F7393-0EFE-DB48-959D-6D618C356F71}" keepAlive="1" name="Query - admissions" description="Connection to the 'admissions' query in the workbook." type="5" refreshedVersion="8" background="1" saveData="1">
    <dbPr connection="Provider=Microsoft.Mashup.OleDb.1;Data Source=$Workbook$;Location=admissions;Extended Properties=&quot;&quot;" command="SELECT * FROM [admissions]"/>
  </connection>
  <connection id="2" xr16:uid="{A8AEC371-E87F-5245-8D08-930B2EB7EE5D}" keepAlive="1" name="Query - diagnoses_icd" description="Connection to the 'diagnoses_icd' query in the workbook." type="5" refreshedVersion="8" background="1" saveData="1">
    <dbPr connection="Provider=Microsoft.Mashup.OleDb.1;Data Source=$Workbook$;Location=diagnoses_icd;Extended Properties=&quot;&quot;" command="SELECT * FROM [diagnoses_icd]"/>
  </connection>
  <connection id="3" xr16:uid="{0EF45E5C-B099-C24C-984D-93E784A2CC33}"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s>
</file>

<file path=xl/sharedStrings.xml><?xml version="1.0" encoding="utf-8"?>
<sst xmlns="http://schemas.openxmlformats.org/spreadsheetml/2006/main" count="6965" uniqueCount="1736">
  <si>
    <t>subject_id</t>
  </si>
  <si>
    <t>gender</t>
  </si>
  <si>
    <t>anchor_age</t>
  </si>
  <si>
    <t>anchor_year</t>
  </si>
  <si>
    <t>anchor_year_group</t>
  </si>
  <si>
    <t>dod</t>
  </si>
  <si>
    <t>F</t>
  </si>
  <si>
    <t>2011 - 2013</t>
  </si>
  <si>
    <t>2014 - 2016</t>
  </si>
  <si>
    <t>M</t>
  </si>
  <si>
    <t>hadm_id</t>
  </si>
  <si>
    <t>admittime</t>
  </si>
  <si>
    <t>dischtime</t>
  </si>
  <si>
    <t>deathtime</t>
  </si>
  <si>
    <t>admission_type</t>
  </si>
  <si>
    <t>admit_provider_id</t>
  </si>
  <si>
    <t>admission_location</t>
  </si>
  <si>
    <t>discharge_location</t>
  </si>
  <si>
    <t>insurance</t>
  </si>
  <si>
    <t>language</t>
  </si>
  <si>
    <t>marital_status</t>
  </si>
  <si>
    <t>race</t>
  </si>
  <si>
    <t>edregtime</t>
  </si>
  <si>
    <t>edouttime</t>
  </si>
  <si>
    <t>hospital_expire_flag</t>
  </si>
  <si>
    <t>URGENT</t>
  </si>
  <si>
    <t>P03YMR</t>
  </si>
  <si>
    <t>TRANSFER FROM HOSPITAL</t>
  </si>
  <si>
    <t>SKILLED NURSING FACILITY</t>
  </si>
  <si>
    <t>Medicaid</t>
  </si>
  <si>
    <t>ENGLISH</t>
  </si>
  <si>
    <t>SINGLE</t>
  </si>
  <si>
    <t>BLACK/CAPE VERDEAN</t>
  </si>
  <si>
    <t>P41R5N</t>
  </si>
  <si>
    <t>HOME HEALTH CARE</t>
  </si>
  <si>
    <t>?</t>
  </si>
  <si>
    <t>MARRIED</t>
  </si>
  <si>
    <t>HISPANIC/LATINO - PUERTO RICAN</t>
  </si>
  <si>
    <t>P233F6</t>
  </si>
  <si>
    <t>Medicare</t>
  </si>
  <si>
    <t>WHITE</t>
  </si>
  <si>
    <t>P38TI6</t>
  </si>
  <si>
    <t>DIED</t>
  </si>
  <si>
    <t/>
  </si>
  <si>
    <t>UNKNOWN</t>
  </si>
  <si>
    <t>P07HDB</t>
  </si>
  <si>
    <t>HOME</t>
  </si>
  <si>
    <t>Other</t>
  </si>
  <si>
    <t>WIDOWED</t>
  </si>
  <si>
    <t>P536JC</t>
  </si>
  <si>
    <t>P79SJ2</t>
  </si>
  <si>
    <t>P48GIG</t>
  </si>
  <si>
    <t>P3529J</t>
  </si>
  <si>
    <t>OTHER</t>
  </si>
  <si>
    <t>P64TGC</t>
  </si>
  <si>
    <t>P77BSD</t>
  </si>
  <si>
    <t>P54RLA</t>
  </si>
  <si>
    <t>TRANSFER FROM SKILLED NURSING FACILITY</t>
  </si>
  <si>
    <t>P7554I</t>
  </si>
  <si>
    <t>P47E1G</t>
  </si>
  <si>
    <t>P44WVR</t>
  </si>
  <si>
    <t>P81KFM</t>
  </si>
  <si>
    <t>BLACK/AFRICAN AMERICAN</t>
  </si>
  <si>
    <t>P874LG</t>
  </si>
  <si>
    <t>P031HZ</t>
  </si>
  <si>
    <t>P38RSS</t>
  </si>
  <si>
    <t>P509SB</t>
  </si>
  <si>
    <t>P94V16</t>
  </si>
  <si>
    <t>P31A9M</t>
  </si>
  <si>
    <t>P72G4H</t>
  </si>
  <si>
    <t>ACUTE HOSPITAL</t>
  </si>
  <si>
    <t>P99U21</t>
  </si>
  <si>
    <t>P60ZCO</t>
  </si>
  <si>
    <t>CHRONIC/LONG TERM ACUTE CARE</t>
  </si>
  <si>
    <t>P878WT</t>
  </si>
  <si>
    <t>P534S8</t>
  </si>
  <si>
    <t>P17MK7</t>
  </si>
  <si>
    <t>P3763P</t>
  </si>
  <si>
    <t>INTERNAL TRANSFER TO OR FROM PSYCH</t>
  </si>
  <si>
    <t>P172D4</t>
  </si>
  <si>
    <t>P99LA7</t>
  </si>
  <si>
    <t>REHAB</t>
  </si>
  <si>
    <t>P48KFD</t>
  </si>
  <si>
    <t>P96FGV</t>
  </si>
  <si>
    <t>ELECTIVE</t>
  </si>
  <si>
    <t>P76K54</t>
  </si>
  <si>
    <t>PHYSICIAN REFERRAL</t>
  </si>
  <si>
    <t>HISPANIC/LATINO - SALVADORAN</t>
  </si>
  <si>
    <t>P786Y5</t>
  </si>
  <si>
    <t>UNABLE TO OBTAIN</t>
  </si>
  <si>
    <t>P96Y5O</t>
  </si>
  <si>
    <t>DIVORCED</t>
  </si>
  <si>
    <t>P45GUA</t>
  </si>
  <si>
    <t>P7280F</t>
  </si>
  <si>
    <t>P80J89</t>
  </si>
  <si>
    <t>P43BTJ</t>
  </si>
  <si>
    <t>EW EMER.</t>
  </si>
  <si>
    <t>EMERGENCY ROOM</t>
  </si>
  <si>
    <t>WHITE - OTHER EUROPEAN</t>
  </si>
  <si>
    <t>P34SFE</t>
  </si>
  <si>
    <t>P13ZRJ</t>
  </si>
  <si>
    <t>P19SWB</t>
  </si>
  <si>
    <t>P99698</t>
  </si>
  <si>
    <t>P3638G</t>
  </si>
  <si>
    <t>P99BGS</t>
  </si>
  <si>
    <t>P35SU0</t>
  </si>
  <si>
    <t>PACU</t>
  </si>
  <si>
    <t>P4645A</t>
  </si>
  <si>
    <t>P27588</t>
  </si>
  <si>
    <t>P47SIK</t>
  </si>
  <si>
    <t>P39043</t>
  </si>
  <si>
    <t>HOSPICE</t>
  </si>
  <si>
    <t>PROCEDURE SITE</t>
  </si>
  <si>
    <t>P01LRQ</t>
  </si>
  <si>
    <t>P04X8Y</t>
  </si>
  <si>
    <t>P28OI9</t>
  </si>
  <si>
    <t>PORTUGUESE</t>
  </si>
  <si>
    <t>P95QHH</t>
  </si>
  <si>
    <t>P94RT6</t>
  </si>
  <si>
    <t>P5487F</t>
  </si>
  <si>
    <t>P61T4I</t>
  </si>
  <si>
    <t>P82B0E</t>
  </si>
  <si>
    <t>P62A9I</t>
  </si>
  <si>
    <t>P00P3O</t>
  </si>
  <si>
    <t>P56SP9</t>
  </si>
  <si>
    <t>P29CGZ</t>
  </si>
  <si>
    <t>P204LI</t>
  </si>
  <si>
    <t>P825SO</t>
  </si>
  <si>
    <t>P64JK6</t>
  </si>
  <si>
    <t>P80QIV</t>
  </si>
  <si>
    <t>P15PLY</t>
  </si>
  <si>
    <t>P424IO</t>
  </si>
  <si>
    <t>P08904</t>
  </si>
  <si>
    <t>WALK-IN/SELF REFERRAL</t>
  </si>
  <si>
    <t>P47KFL</t>
  </si>
  <si>
    <t>P1037P</t>
  </si>
  <si>
    <t>P09IS0</t>
  </si>
  <si>
    <t>P39SWK</t>
  </si>
  <si>
    <t>AGAINST ADVICE</t>
  </si>
  <si>
    <t>P09Q6Y</t>
  </si>
  <si>
    <t>P60CC5</t>
  </si>
  <si>
    <t>P30KEH</t>
  </si>
  <si>
    <t>P51MA2</t>
  </si>
  <si>
    <t>HISPANIC/LATINO - CUBAN</t>
  </si>
  <si>
    <t>P072C5</t>
  </si>
  <si>
    <t>P450WM</t>
  </si>
  <si>
    <t>P80GYA</t>
  </si>
  <si>
    <t>P30AMB</t>
  </si>
  <si>
    <t>P30SZF</t>
  </si>
  <si>
    <t>P623U2</t>
  </si>
  <si>
    <t>P60F78</t>
  </si>
  <si>
    <t>P56B4N</t>
  </si>
  <si>
    <t>P203BW</t>
  </si>
  <si>
    <t>P08BV8</t>
  </si>
  <si>
    <t>P14622</t>
  </si>
  <si>
    <t>P37QNF</t>
  </si>
  <si>
    <t>P42DF5</t>
  </si>
  <si>
    <t>P77SO2</t>
  </si>
  <si>
    <t>P89ZCW</t>
  </si>
  <si>
    <t>P23URY</t>
  </si>
  <si>
    <t>P3417E</t>
  </si>
  <si>
    <t>PATIENT DECLINED TO ANSWER</t>
  </si>
  <si>
    <t>P68RKH</t>
  </si>
  <si>
    <t>P64JOR</t>
  </si>
  <si>
    <t>P73Y1N</t>
  </si>
  <si>
    <t>P1904G</t>
  </si>
  <si>
    <t>P059D0</t>
  </si>
  <si>
    <t>P46WR5</t>
  </si>
  <si>
    <t>P44UQI</t>
  </si>
  <si>
    <t>INFORMATION NOT AVAILABLE</t>
  </si>
  <si>
    <t>P80LEI</t>
  </si>
  <si>
    <t>PSYCH FACILITY</t>
  </si>
  <si>
    <t>P43A1R</t>
  </si>
  <si>
    <t>P74QAJ</t>
  </si>
  <si>
    <t>WHITE - BRAZILIAN</t>
  </si>
  <si>
    <t>P64TOH</t>
  </si>
  <si>
    <t>DIRECT EMER.</t>
  </si>
  <si>
    <t>P98TAU</t>
  </si>
  <si>
    <t>CLINIC REFERRAL</t>
  </si>
  <si>
    <t>P90LIK</t>
  </si>
  <si>
    <t>P11CH5</t>
  </si>
  <si>
    <t>P15Q8N</t>
  </si>
  <si>
    <t>P73PF1</t>
  </si>
  <si>
    <t>P94CCF</t>
  </si>
  <si>
    <t>P356OC</t>
  </si>
  <si>
    <t>P38W5P</t>
  </si>
  <si>
    <t>EU OBSERVATION</t>
  </si>
  <si>
    <t>P76VMW</t>
  </si>
  <si>
    <t>P19QFH</t>
  </si>
  <si>
    <t>P25XDB</t>
  </si>
  <si>
    <t>P21E4S</t>
  </si>
  <si>
    <t>P607HY</t>
  </si>
  <si>
    <t>P30KYN</t>
  </si>
  <si>
    <t>P83K3D</t>
  </si>
  <si>
    <t>P187JB</t>
  </si>
  <si>
    <t>P63AD6</t>
  </si>
  <si>
    <t>P57NY9</t>
  </si>
  <si>
    <t>P42K8Q</t>
  </si>
  <si>
    <t>P850UN</t>
  </si>
  <si>
    <t>P40IUG</t>
  </si>
  <si>
    <t>HISPANIC OR LATINO</t>
  </si>
  <si>
    <t>P03N1K</t>
  </si>
  <si>
    <t>P45LON</t>
  </si>
  <si>
    <t>P33NK4</t>
  </si>
  <si>
    <t>P68U3G</t>
  </si>
  <si>
    <t>P2358X</t>
  </si>
  <si>
    <t>P38XXV</t>
  </si>
  <si>
    <t>P59HPG</t>
  </si>
  <si>
    <t>P11RCJ</t>
  </si>
  <si>
    <t>P08S8F</t>
  </si>
  <si>
    <t>OBSERVATION ADMIT</t>
  </si>
  <si>
    <t>P95P90</t>
  </si>
  <si>
    <t>P898NM</t>
  </si>
  <si>
    <t>P89T1L</t>
  </si>
  <si>
    <t>P104SU</t>
  </si>
  <si>
    <t>P54UVQ</t>
  </si>
  <si>
    <t>P57B0F</t>
  </si>
  <si>
    <t>P723L9</t>
  </si>
  <si>
    <t>P17YHV</t>
  </si>
  <si>
    <t>P42VJP</t>
  </si>
  <si>
    <t>P21X87</t>
  </si>
  <si>
    <t>P259GB</t>
  </si>
  <si>
    <t>P91LM4</t>
  </si>
  <si>
    <t>P8785Z</t>
  </si>
  <si>
    <t>P04ZFH</t>
  </si>
  <si>
    <t>P49NLZ</t>
  </si>
  <si>
    <t>P20N5X</t>
  </si>
  <si>
    <t>P88A32</t>
  </si>
  <si>
    <t>P70N8P</t>
  </si>
  <si>
    <t>P66Z67</t>
  </si>
  <si>
    <t>P7634X</t>
  </si>
  <si>
    <t>P85BWS</t>
  </si>
  <si>
    <t>P10WWR</t>
  </si>
  <si>
    <t>P513EK</t>
  </si>
  <si>
    <t>P39FGY</t>
  </si>
  <si>
    <t>P18I28</t>
  </si>
  <si>
    <t>DIRECT OBSERVATION</t>
  </si>
  <si>
    <t>P132L1</t>
  </si>
  <si>
    <t>P1942H</t>
  </si>
  <si>
    <t>P05BRR</t>
  </si>
  <si>
    <t>P466EI</t>
  </si>
  <si>
    <t>AMBULATORY OBSERVATION</t>
  </si>
  <si>
    <t>P48P6U</t>
  </si>
  <si>
    <t>P75JMU</t>
  </si>
  <si>
    <t>P99YFT</t>
  </si>
  <si>
    <t>SURGICAL SAME DAY ADMISSION</t>
  </si>
  <si>
    <t>P17BJ5</t>
  </si>
  <si>
    <t>P2720E</t>
  </si>
  <si>
    <t>seq_num</t>
  </si>
  <si>
    <t>icd_code</t>
  </si>
  <si>
    <t>icd_version</t>
  </si>
  <si>
    <t>4139</t>
  </si>
  <si>
    <t>V707</t>
  </si>
  <si>
    <t>41401</t>
  </si>
  <si>
    <t>3899</t>
  </si>
  <si>
    <t>V8532</t>
  </si>
  <si>
    <t>25002</t>
  </si>
  <si>
    <t>71696</t>
  </si>
  <si>
    <t>V1083</t>
  </si>
  <si>
    <t>2724</t>
  </si>
  <si>
    <t>V5867</t>
  </si>
  <si>
    <t>27800</t>
  </si>
  <si>
    <t>4829</t>
  </si>
  <si>
    <t>99592</t>
  </si>
  <si>
    <t>2768</t>
  </si>
  <si>
    <t>0388</t>
  </si>
  <si>
    <t>78791</t>
  </si>
  <si>
    <t>5601</t>
  </si>
  <si>
    <t>2875</t>
  </si>
  <si>
    <t>60001</t>
  </si>
  <si>
    <t>79092</t>
  </si>
  <si>
    <t>5110</t>
  </si>
  <si>
    <t>2859</t>
  </si>
  <si>
    <t>5849</t>
  </si>
  <si>
    <t>78820</t>
  </si>
  <si>
    <t>4240</t>
  </si>
  <si>
    <t>V4589</t>
  </si>
  <si>
    <t>5121</t>
  </si>
  <si>
    <t>7873</t>
  </si>
  <si>
    <t>99832</t>
  </si>
  <si>
    <t>33812</t>
  </si>
  <si>
    <t>E8782</t>
  </si>
  <si>
    <t>V1204</t>
  </si>
  <si>
    <t>99859</t>
  </si>
  <si>
    <t>04112</t>
  </si>
  <si>
    <t>E8497</t>
  </si>
  <si>
    <t>5109</t>
  </si>
  <si>
    <t>51189</t>
  </si>
  <si>
    <t>6822</t>
  </si>
  <si>
    <t>34600</t>
  </si>
  <si>
    <t>V151</t>
  </si>
  <si>
    <t>29181</t>
  </si>
  <si>
    <t>85221</t>
  </si>
  <si>
    <t>53081</t>
  </si>
  <si>
    <t>E8150</t>
  </si>
  <si>
    <t>2749</t>
  </si>
  <si>
    <t>4019</t>
  </si>
  <si>
    <t>30391</t>
  </si>
  <si>
    <t>E8495</t>
  </si>
  <si>
    <t>8054</t>
  </si>
  <si>
    <t>V168</t>
  </si>
  <si>
    <t>V161</t>
  </si>
  <si>
    <t>04109</t>
  </si>
  <si>
    <t>3485</t>
  </si>
  <si>
    <t>3484</t>
  </si>
  <si>
    <t>3240</t>
  </si>
  <si>
    <t>340</t>
  </si>
  <si>
    <t>5180</t>
  </si>
  <si>
    <t>3051</t>
  </si>
  <si>
    <t>D696</t>
  </si>
  <si>
    <t>S030XXA</t>
  </si>
  <si>
    <t>S25512A</t>
  </si>
  <si>
    <t>D649</t>
  </si>
  <si>
    <t>F1010</t>
  </si>
  <si>
    <t>S0262XA</t>
  </si>
  <si>
    <t>Y040XXA</t>
  </si>
  <si>
    <t>S36892A</t>
  </si>
  <si>
    <t>99811</t>
  </si>
  <si>
    <t>V8741</t>
  </si>
  <si>
    <t>20300</t>
  </si>
  <si>
    <t>42731</t>
  </si>
  <si>
    <t>36201</t>
  </si>
  <si>
    <t>25050</t>
  </si>
  <si>
    <t>4142</t>
  </si>
  <si>
    <t>I4891</t>
  </si>
  <si>
    <t>I959</t>
  </si>
  <si>
    <t>Y832</t>
  </si>
  <si>
    <t>K5190</t>
  </si>
  <si>
    <t>E119</t>
  </si>
  <si>
    <t>E785</t>
  </si>
  <si>
    <t>J810</t>
  </si>
  <si>
    <t>I255</t>
  </si>
  <si>
    <t>R0902</t>
  </si>
  <si>
    <t>G4700</t>
  </si>
  <si>
    <t>D62</t>
  </si>
  <si>
    <t>I2510</t>
  </si>
  <si>
    <t>Z933</t>
  </si>
  <si>
    <t>Y92230</t>
  </si>
  <si>
    <t>I9789</t>
  </si>
  <si>
    <t>7245</t>
  </si>
  <si>
    <t>E8889</t>
  </si>
  <si>
    <t>6961</t>
  </si>
  <si>
    <t>30390</t>
  </si>
  <si>
    <t>81201</t>
  </si>
  <si>
    <t>3453</t>
  </si>
  <si>
    <t>5855</t>
  </si>
  <si>
    <t>85220</t>
  </si>
  <si>
    <t>78451</t>
  </si>
  <si>
    <t>V4365</t>
  </si>
  <si>
    <t>7843</t>
  </si>
  <si>
    <t>78830</t>
  </si>
  <si>
    <t>78194</t>
  </si>
  <si>
    <t>40391</t>
  </si>
  <si>
    <t>E8490</t>
  </si>
  <si>
    <t>V173</t>
  </si>
  <si>
    <t>53550</t>
  </si>
  <si>
    <t>2127</t>
  </si>
  <si>
    <t>V1272</t>
  </si>
  <si>
    <t>4556</t>
  </si>
  <si>
    <t>V1582</t>
  </si>
  <si>
    <t>56210</t>
  </si>
  <si>
    <t>G40909</t>
  </si>
  <si>
    <t>Z85850</t>
  </si>
  <si>
    <t>D1802</t>
  </si>
  <si>
    <t>80707</t>
  </si>
  <si>
    <t>E8809</t>
  </si>
  <si>
    <t>30500</t>
  </si>
  <si>
    <t>8600</t>
  </si>
  <si>
    <t>49390</t>
  </si>
  <si>
    <t>E8798</t>
  </si>
  <si>
    <t>9962</t>
  </si>
  <si>
    <t>9010</t>
  </si>
  <si>
    <t>E8120</t>
  </si>
  <si>
    <t>Z96651</t>
  </si>
  <si>
    <t>Z6841</t>
  </si>
  <si>
    <t>I671</t>
  </si>
  <si>
    <t>M1712</t>
  </si>
  <si>
    <t>K2270</t>
  </si>
  <si>
    <t>E669</t>
  </si>
  <si>
    <t>I10</t>
  </si>
  <si>
    <t>Z7902</t>
  </si>
  <si>
    <t>4589</t>
  </si>
  <si>
    <t>V5866</t>
  </si>
  <si>
    <t>5400</t>
  </si>
  <si>
    <t>25000</t>
  </si>
  <si>
    <t>2720</t>
  </si>
  <si>
    <t>V4577</t>
  </si>
  <si>
    <t>V1082</t>
  </si>
  <si>
    <t>2449</t>
  </si>
  <si>
    <t>34830</t>
  </si>
  <si>
    <t>2761</t>
  </si>
  <si>
    <t>85186</t>
  </si>
  <si>
    <t>5070</t>
  </si>
  <si>
    <t>2910</t>
  </si>
  <si>
    <t>1120</t>
  </si>
  <si>
    <t>78720</t>
  </si>
  <si>
    <t>34831</t>
  </si>
  <si>
    <t>3310</t>
  </si>
  <si>
    <t>29411</t>
  </si>
  <si>
    <t>71590</t>
  </si>
  <si>
    <t>79902</t>
  </si>
  <si>
    <t>2639</t>
  </si>
  <si>
    <t>43820</t>
  </si>
  <si>
    <t>2760</t>
  </si>
  <si>
    <t>486</t>
  </si>
  <si>
    <t>4439</t>
  </si>
  <si>
    <t>311</t>
  </si>
  <si>
    <t>78321</t>
  </si>
  <si>
    <t>2810</t>
  </si>
  <si>
    <t>5990</t>
  </si>
  <si>
    <t>2762</t>
  </si>
  <si>
    <t>V643</t>
  </si>
  <si>
    <t>4254</t>
  </si>
  <si>
    <t>5859</t>
  </si>
  <si>
    <t>3569</t>
  </si>
  <si>
    <t>E8790</t>
  </si>
  <si>
    <t>40390</t>
  </si>
  <si>
    <t>41402</t>
  </si>
  <si>
    <t>V5861</t>
  </si>
  <si>
    <t>99702</t>
  </si>
  <si>
    <t>V4501</t>
  </si>
  <si>
    <t>E860</t>
  </si>
  <si>
    <t>J9811</t>
  </si>
  <si>
    <t>N179</t>
  </si>
  <si>
    <t>L930</t>
  </si>
  <si>
    <t>R002</t>
  </si>
  <si>
    <t>Z8781</t>
  </si>
  <si>
    <t>I9589</t>
  </si>
  <si>
    <t>R000</t>
  </si>
  <si>
    <t>E871</t>
  </si>
  <si>
    <t>Z87891</t>
  </si>
  <si>
    <t>I308</t>
  </si>
  <si>
    <t>J90</t>
  </si>
  <si>
    <t>Z8639</t>
  </si>
  <si>
    <t>Z8249</t>
  </si>
  <si>
    <t>E780</t>
  </si>
  <si>
    <t>I25110</t>
  </si>
  <si>
    <t>Z6838</t>
  </si>
  <si>
    <t>K219</t>
  </si>
  <si>
    <t>I2582</t>
  </si>
  <si>
    <t>I82412</t>
  </si>
  <si>
    <t>Z9181</t>
  </si>
  <si>
    <t>I82432</t>
  </si>
  <si>
    <t>I272</t>
  </si>
  <si>
    <t>Z951</t>
  </si>
  <si>
    <t>R141</t>
  </si>
  <si>
    <t>Z7901</t>
  </si>
  <si>
    <t>I5022</t>
  </si>
  <si>
    <t>I472</t>
  </si>
  <si>
    <t>I2699</t>
  </si>
  <si>
    <t>C9000</t>
  </si>
  <si>
    <t>D472</t>
  </si>
  <si>
    <t>Z7982</t>
  </si>
  <si>
    <t>45620</t>
  </si>
  <si>
    <t>5845</t>
  </si>
  <si>
    <t>5712</t>
  </si>
  <si>
    <t>30301</t>
  </si>
  <si>
    <t>5711</t>
  </si>
  <si>
    <t>41071</t>
  </si>
  <si>
    <t>5722</t>
  </si>
  <si>
    <t>2866</t>
  </si>
  <si>
    <t>45989</t>
  </si>
  <si>
    <t>78959</t>
  </si>
  <si>
    <t>41400</t>
  </si>
  <si>
    <t>27651</t>
  </si>
  <si>
    <t>7802</t>
  </si>
  <si>
    <t>V4582</t>
  </si>
  <si>
    <t>0088</t>
  </si>
  <si>
    <t>25012</t>
  </si>
  <si>
    <t>V1005</t>
  </si>
  <si>
    <t>78609</t>
  </si>
  <si>
    <t>7851</t>
  </si>
  <si>
    <t>E8499</t>
  </si>
  <si>
    <t>8020</t>
  </si>
  <si>
    <t>78039</t>
  </si>
  <si>
    <t>E9600</t>
  </si>
  <si>
    <t>F17200</t>
  </si>
  <si>
    <t>Z955</t>
  </si>
  <si>
    <t>F419</t>
  </si>
  <si>
    <t>Z6832</t>
  </si>
  <si>
    <t>71535</t>
  </si>
  <si>
    <t>44102</t>
  </si>
  <si>
    <t>5641</t>
  </si>
  <si>
    <t>60000</t>
  </si>
  <si>
    <t>V1301</t>
  </si>
  <si>
    <t>4779</t>
  </si>
  <si>
    <t>4239</t>
  </si>
  <si>
    <t>4111</t>
  </si>
  <si>
    <t>7291</t>
  </si>
  <si>
    <t>6185</t>
  </si>
  <si>
    <t>56400</t>
  </si>
  <si>
    <t>E9352</t>
  </si>
  <si>
    <t>6186</t>
  </si>
  <si>
    <t>31401</t>
  </si>
  <si>
    <t>78052</t>
  </si>
  <si>
    <t>78829</t>
  </si>
  <si>
    <t>9950</t>
  </si>
  <si>
    <t>V1041</t>
  </si>
  <si>
    <t>3331</t>
  </si>
  <si>
    <t>30000</t>
  </si>
  <si>
    <t>4571</t>
  </si>
  <si>
    <t>44489</t>
  </si>
  <si>
    <t>9982</t>
  </si>
  <si>
    <t>E8700</t>
  </si>
  <si>
    <t>V1009</t>
  </si>
  <si>
    <t>1962</t>
  </si>
  <si>
    <t>V1042</t>
  </si>
  <si>
    <t>53240</t>
  </si>
  <si>
    <t>53010</t>
  </si>
  <si>
    <t>2769</t>
  </si>
  <si>
    <t>7904</t>
  </si>
  <si>
    <t>2764</t>
  </si>
  <si>
    <t>5533</t>
  </si>
  <si>
    <t>E9353</t>
  </si>
  <si>
    <t>04149</t>
  </si>
  <si>
    <t>28860</t>
  </si>
  <si>
    <t>51881</t>
  </si>
  <si>
    <t>0389</t>
  </si>
  <si>
    <t>53140</t>
  </si>
  <si>
    <t>J45909</t>
  </si>
  <si>
    <t>I214</t>
  </si>
  <si>
    <t>Z6835</t>
  </si>
  <si>
    <t>Z23</t>
  </si>
  <si>
    <t>I7102</t>
  </si>
  <si>
    <t>1505</t>
  </si>
  <si>
    <t>53085</t>
  </si>
  <si>
    <t>2851</t>
  </si>
  <si>
    <t>53560</t>
  </si>
  <si>
    <t>7200</t>
  </si>
  <si>
    <t>V641</t>
  </si>
  <si>
    <t>4241</t>
  </si>
  <si>
    <t>78062</t>
  </si>
  <si>
    <t>4293</t>
  </si>
  <si>
    <t>5262</t>
  </si>
  <si>
    <t>4558</t>
  </si>
  <si>
    <t>431</t>
  </si>
  <si>
    <t>3314</t>
  </si>
  <si>
    <t>V4987</t>
  </si>
  <si>
    <t>V4986</t>
  </si>
  <si>
    <t>71690</t>
  </si>
  <si>
    <t>V4586</t>
  </si>
  <si>
    <t>2397</t>
  </si>
  <si>
    <t>V4364</t>
  </si>
  <si>
    <t>56409</t>
  </si>
  <si>
    <t>V1254</t>
  </si>
  <si>
    <t>73730</t>
  </si>
  <si>
    <t>75612</t>
  </si>
  <si>
    <t>72403</t>
  </si>
  <si>
    <t>4271</t>
  </si>
  <si>
    <t>1622</t>
  </si>
  <si>
    <t>V1642</t>
  </si>
  <si>
    <t>V163</t>
  </si>
  <si>
    <t>V4561</t>
  </si>
  <si>
    <t>33818</t>
  </si>
  <si>
    <t>V431</t>
  </si>
  <si>
    <t>36250</t>
  </si>
  <si>
    <t>V103</t>
  </si>
  <si>
    <t>E8786</t>
  </si>
  <si>
    <t>J449</t>
  </si>
  <si>
    <t>R6521</t>
  </si>
  <si>
    <t>E039</t>
  </si>
  <si>
    <t>J189</t>
  </si>
  <si>
    <t>K649</t>
  </si>
  <si>
    <t>Z66</t>
  </si>
  <si>
    <t>A419</t>
  </si>
  <si>
    <t>4588</t>
  </si>
  <si>
    <t>4260</t>
  </si>
  <si>
    <t>78097</t>
  </si>
  <si>
    <t>I9751</t>
  </si>
  <si>
    <t>I871</t>
  </si>
  <si>
    <t>Y838</t>
  </si>
  <si>
    <t>Y92234</t>
  </si>
  <si>
    <t>I82422</t>
  </si>
  <si>
    <t>I25119</t>
  </si>
  <si>
    <t>F17210</t>
  </si>
  <si>
    <t>V113</t>
  </si>
  <si>
    <t>72402</t>
  </si>
  <si>
    <t>V1202</t>
  </si>
  <si>
    <t>V454</t>
  </si>
  <si>
    <t>33520</t>
  </si>
  <si>
    <t>34690</t>
  </si>
  <si>
    <t>2536</t>
  </si>
  <si>
    <t>1369</t>
  </si>
  <si>
    <t>2252</t>
  </si>
  <si>
    <t>04102</t>
  </si>
  <si>
    <t>04184</t>
  </si>
  <si>
    <t>80704</t>
  </si>
  <si>
    <t>5184</t>
  </si>
  <si>
    <t>82111</t>
  </si>
  <si>
    <t>04104</t>
  </si>
  <si>
    <t>F10239</t>
  </si>
  <si>
    <t>F39</t>
  </si>
  <si>
    <t>F10229</t>
  </si>
  <si>
    <t>Z915</t>
  </si>
  <si>
    <t>Z590</t>
  </si>
  <si>
    <t>9971</t>
  </si>
  <si>
    <t>E8844</t>
  </si>
  <si>
    <t>71941</t>
  </si>
  <si>
    <t>45182</t>
  </si>
  <si>
    <t>I6032</t>
  </si>
  <si>
    <t>R627</t>
  </si>
  <si>
    <t>B9561</t>
  </si>
  <si>
    <t>A4151</t>
  </si>
  <si>
    <t>K661</t>
  </si>
  <si>
    <t>K7201</t>
  </si>
  <si>
    <t>Y848</t>
  </si>
  <si>
    <t>I97610</t>
  </si>
  <si>
    <t>K7581</t>
  </si>
  <si>
    <t>R571</t>
  </si>
  <si>
    <t>J9600</t>
  </si>
  <si>
    <t>T80219A</t>
  </si>
  <si>
    <t>R188</t>
  </si>
  <si>
    <t>I4892</t>
  </si>
  <si>
    <t>D638</t>
  </si>
  <si>
    <t>K7200</t>
  </si>
  <si>
    <t>E43</t>
  </si>
  <si>
    <t>K659</t>
  </si>
  <si>
    <t>N390</t>
  </si>
  <si>
    <t>K767</t>
  </si>
  <si>
    <t>I25118</t>
  </si>
  <si>
    <t>Z794</t>
  </si>
  <si>
    <t>I129</t>
  </si>
  <si>
    <t>K7469</t>
  </si>
  <si>
    <t>D684</t>
  </si>
  <si>
    <t>J95851</t>
  </si>
  <si>
    <t>E872</t>
  </si>
  <si>
    <t>K766</t>
  </si>
  <si>
    <t>T8119XA</t>
  </si>
  <si>
    <t>K567</t>
  </si>
  <si>
    <t>B9689</t>
  </si>
  <si>
    <t>N183</t>
  </si>
  <si>
    <t>57512</t>
  </si>
  <si>
    <t>V8535</t>
  </si>
  <si>
    <t>42789</t>
  </si>
  <si>
    <t>1560</t>
  </si>
  <si>
    <t>1978</t>
  </si>
  <si>
    <t>75169</t>
  </si>
  <si>
    <t>570</t>
  </si>
  <si>
    <t>29900</t>
  </si>
  <si>
    <t>58389</t>
  </si>
  <si>
    <t>5761</t>
  </si>
  <si>
    <t>V1253</t>
  </si>
  <si>
    <t>7906</t>
  </si>
  <si>
    <t>03842</t>
  </si>
  <si>
    <t>42821</t>
  </si>
  <si>
    <t>79029</t>
  </si>
  <si>
    <t>28749</t>
  </si>
  <si>
    <t>78551</t>
  </si>
  <si>
    <t>5939</t>
  </si>
  <si>
    <t>4280</t>
  </si>
  <si>
    <t>2930</t>
  </si>
  <si>
    <t>9086</t>
  </si>
  <si>
    <t>07032</t>
  </si>
  <si>
    <t>34550</t>
  </si>
  <si>
    <t>30981</t>
  </si>
  <si>
    <t>E9290</t>
  </si>
  <si>
    <t>4238</t>
  </si>
  <si>
    <t>7295</t>
  </si>
  <si>
    <t>41189</t>
  </si>
  <si>
    <t>41519</t>
  </si>
  <si>
    <t>496</t>
  </si>
  <si>
    <t>07070</t>
  </si>
  <si>
    <t>1629</t>
  </si>
  <si>
    <t>1971</t>
  </si>
  <si>
    <t>80702</t>
  </si>
  <si>
    <t>34590</t>
  </si>
  <si>
    <t>E8881</t>
  </si>
  <si>
    <t>49121</t>
  </si>
  <si>
    <t>2767</t>
  </si>
  <si>
    <t>I97131</t>
  </si>
  <si>
    <t>I9752</t>
  </si>
  <si>
    <t>J942</t>
  </si>
  <si>
    <t>I5031</t>
  </si>
  <si>
    <t>Z853</t>
  </si>
  <si>
    <t>G936</t>
  </si>
  <si>
    <t>I97618</t>
  </si>
  <si>
    <t>R4701</t>
  </si>
  <si>
    <t>R079</t>
  </si>
  <si>
    <t>I9581</t>
  </si>
  <si>
    <t>Y834</t>
  </si>
  <si>
    <t>W1830XA</t>
  </si>
  <si>
    <t>Y92512</t>
  </si>
  <si>
    <t>M4854XA</t>
  </si>
  <si>
    <t>S2242XA</t>
  </si>
  <si>
    <t>E876</t>
  </si>
  <si>
    <t>R55</t>
  </si>
  <si>
    <t>56981</t>
  </si>
  <si>
    <t>42769</t>
  </si>
  <si>
    <t>29420</t>
  </si>
  <si>
    <t>9986</t>
  </si>
  <si>
    <t>42842</t>
  </si>
  <si>
    <t>56722</t>
  </si>
  <si>
    <t>5579</t>
  </si>
  <si>
    <t>42833</t>
  </si>
  <si>
    <t>V4572</t>
  </si>
  <si>
    <t>4380</t>
  </si>
  <si>
    <t>99830</t>
  </si>
  <si>
    <t>53012</t>
  </si>
  <si>
    <t>V552</t>
  </si>
  <si>
    <t>V5832</t>
  </si>
  <si>
    <t>2800</t>
  </si>
  <si>
    <t>53290</t>
  </si>
  <si>
    <t>7850</t>
  </si>
  <si>
    <t>53190</t>
  </si>
  <si>
    <t>55329</t>
  </si>
  <si>
    <t>5570</t>
  </si>
  <si>
    <t>514</t>
  </si>
  <si>
    <t>78838</t>
  </si>
  <si>
    <t>78552</t>
  </si>
  <si>
    <t>3898</t>
  </si>
  <si>
    <t>85201</t>
  </si>
  <si>
    <t>412</t>
  </si>
  <si>
    <t>81342</t>
  </si>
  <si>
    <t>5853</t>
  </si>
  <si>
    <t>2819</t>
  </si>
  <si>
    <t>V4502</t>
  </si>
  <si>
    <t>30501</t>
  </si>
  <si>
    <t>3682</t>
  </si>
  <si>
    <t>42822</t>
  </si>
  <si>
    <t>78729</t>
  </si>
  <si>
    <t>78900</t>
  </si>
  <si>
    <t>587</t>
  </si>
  <si>
    <t>V4512</t>
  </si>
  <si>
    <t>30393</t>
  </si>
  <si>
    <t>V4511</t>
  </si>
  <si>
    <t>5781</t>
  </si>
  <si>
    <t>28521</t>
  </si>
  <si>
    <t>5856</t>
  </si>
  <si>
    <t>V1581</t>
  </si>
  <si>
    <t>79319</t>
  </si>
  <si>
    <t>34839</t>
  </si>
  <si>
    <t>C7B8</t>
  </si>
  <si>
    <t>Z9981</t>
  </si>
  <si>
    <t>Z515</t>
  </si>
  <si>
    <t>J910</t>
  </si>
  <si>
    <t>E883</t>
  </si>
  <si>
    <t>R410</t>
  </si>
  <si>
    <t>N189</t>
  </si>
  <si>
    <t>F4310</t>
  </si>
  <si>
    <t>Z85048</t>
  </si>
  <si>
    <t>C7A8</t>
  </si>
  <si>
    <t>J9621</t>
  </si>
  <si>
    <t>N170</t>
  </si>
  <si>
    <t>42732</t>
  </si>
  <si>
    <t>4400</t>
  </si>
  <si>
    <t>V153</t>
  </si>
  <si>
    <t>V5863</t>
  </si>
  <si>
    <t>V1006</t>
  </si>
  <si>
    <t>04110</t>
  </si>
  <si>
    <t>V8531</t>
  </si>
  <si>
    <t>7847</t>
  </si>
  <si>
    <t>R310</t>
  </si>
  <si>
    <t>Z86718</t>
  </si>
  <si>
    <t>A047</t>
  </si>
  <si>
    <t>X58XXXA</t>
  </si>
  <si>
    <t>Y92239</t>
  </si>
  <si>
    <t>I509</t>
  </si>
  <si>
    <t>R570</t>
  </si>
  <si>
    <t>E118</t>
  </si>
  <si>
    <t>S3730XA</t>
  </si>
  <si>
    <t>T45515A</t>
  </si>
  <si>
    <t>I480</t>
  </si>
  <si>
    <t>I252</t>
  </si>
  <si>
    <t>K2960</t>
  </si>
  <si>
    <t>B9681</t>
  </si>
  <si>
    <t>R578</t>
  </si>
  <si>
    <t>5187</t>
  </si>
  <si>
    <t>5723</t>
  </si>
  <si>
    <t>V1001</t>
  </si>
  <si>
    <t>7885</t>
  </si>
  <si>
    <t>25541</t>
  </si>
  <si>
    <t>27669</t>
  </si>
  <si>
    <t>7824</t>
  </si>
  <si>
    <t>4561</t>
  </si>
  <si>
    <t>53789</t>
  </si>
  <si>
    <t>E9347</t>
  </si>
  <si>
    <t>7994</t>
  </si>
  <si>
    <t>78606</t>
  </si>
  <si>
    <t>56723</t>
  </si>
  <si>
    <t>5370</t>
  </si>
  <si>
    <t>V7283</t>
  </si>
  <si>
    <t>2869</t>
  </si>
  <si>
    <t>V667</t>
  </si>
  <si>
    <t>72889</t>
  </si>
  <si>
    <t>5715</t>
  </si>
  <si>
    <t>99657</t>
  </si>
  <si>
    <t>7916</t>
  </si>
  <si>
    <t>E7800</t>
  </si>
  <si>
    <t>E1165</t>
  </si>
  <si>
    <t>D869</t>
  </si>
  <si>
    <t>T85694A</t>
  </si>
  <si>
    <t>J15211</t>
  </si>
  <si>
    <t>Z006</t>
  </si>
  <si>
    <t>J9601</t>
  </si>
  <si>
    <t>T383X6A</t>
  </si>
  <si>
    <t>E1010</t>
  </si>
  <si>
    <t>3575</t>
  </si>
  <si>
    <t>5989</t>
  </si>
  <si>
    <t>03849</t>
  </si>
  <si>
    <t>51889</t>
  </si>
  <si>
    <t>3489</t>
  </si>
  <si>
    <t>7810</t>
  </si>
  <si>
    <t>4168</t>
  </si>
  <si>
    <t>75261</t>
  </si>
  <si>
    <t>34982</t>
  </si>
  <si>
    <t>20210</t>
  </si>
  <si>
    <t>1540</t>
  </si>
  <si>
    <t>73010</t>
  </si>
  <si>
    <t>4820</t>
  </si>
  <si>
    <t>5789</t>
  </si>
  <si>
    <t>V1255</t>
  </si>
  <si>
    <t>V441</t>
  </si>
  <si>
    <t>4373</t>
  </si>
  <si>
    <t>79311</t>
  </si>
  <si>
    <t>78722</t>
  </si>
  <si>
    <t>48242</t>
  </si>
  <si>
    <t>V0481</t>
  </si>
  <si>
    <t>430</t>
  </si>
  <si>
    <t>1970</t>
  </si>
  <si>
    <t>1987</t>
  </si>
  <si>
    <t>1968</t>
  </si>
  <si>
    <t>70703</t>
  </si>
  <si>
    <t>70722</t>
  </si>
  <si>
    <t>1983</t>
  </si>
  <si>
    <t>2853</t>
  </si>
  <si>
    <t>3383</t>
  </si>
  <si>
    <t>70723</t>
  </si>
  <si>
    <t>46400</t>
  </si>
  <si>
    <t>1980</t>
  </si>
  <si>
    <t>1985</t>
  </si>
  <si>
    <t>78652</t>
  </si>
  <si>
    <t>1991</t>
  </si>
  <si>
    <t>E9331</t>
  </si>
  <si>
    <t>27542</t>
  </si>
  <si>
    <t>2752</t>
  </si>
  <si>
    <t>4580</t>
  </si>
  <si>
    <t>79022</t>
  </si>
  <si>
    <t>2753</t>
  </si>
  <si>
    <t>V1046</t>
  </si>
  <si>
    <t>V851</t>
  </si>
  <si>
    <t>42612</t>
  </si>
  <si>
    <t>7210</t>
  </si>
  <si>
    <t>71594</t>
  </si>
  <si>
    <t>1625</t>
  </si>
  <si>
    <t>3659</t>
  </si>
  <si>
    <t>7213</t>
  </si>
  <si>
    <t>78442</t>
  </si>
  <si>
    <t>4370</t>
  </si>
  <si>
    <t>7224</t>
  </si>
  <si>
    <t>72252</t>
  </si>
  <si>
    <t>2662</t>
  </si>
  <si>
    <t>E8781</t>
  </si>
  <si>
    <t>5119</t>
  </si>
  <si>
    <t>2809</t>
  </si>
  <si>
    <t>V1011</t>
  </si>
  <si>
    <t>0417</t>
  </si>
  <si>
    <t>59970</t>
  </si>
  <si>
    <t>5920</t>
  </si>
  <si>
    <t>5693</t>
  </si>
  <si>
    <t>2763</t>
  </si>
  <si>
    <t>E9444</t>
  </si>
  <si>
    <t>42823</t>
  </si>
  <si>
    <t>4148</t>
  </si>
  <si>
    <t>Z9911</t>
  </si>
  <si>
    <t>E1122</t>
  </si>
  <si>
    <t>G935</t>
  </si>
  <si>
    <t>Z9282</t>
  </si>
  <si>
    <t>I130</t>
  </si>
  <si>
    <t>W19XXXA</t>
  </si>
  <si>
    <t>R4020</t>
  </si>
  <si>
    <t>E870</t>
  </si>
  <si>
    <t>B965</t>
  </si>
  <si>
    <t>I714</t>
  </si>
  <si>
    <t>Z95810</t>
  </si>
  <si>
    <t>S06357A</t>
  </si>
  <si>
    <t>G40901</t>
  </si>
  <si>
    <t>I82612</t>
  </si>
  <si>
    <t>N200</t>
  </si>
  <si>
    <t>Y92009</t>
  </si>
  <si>
    <t>I5023</t>
  </si>
  <si>
    <t>S065X7A</t>
  </si>
  <si>
    <t>Z7682</t>
  </si>
  <si>
    <t>N186</t>
  </si>
  <si>
    <t>D631</t>
  </si>
  <si>
    <t>Z992</t>
  </si>
  <si>
    <t>M25512</t>
  </si>
  <si>
    <t>M5489</t>
  </si>
  <si>
    <t>Z79891</t>
  </si>
  <si>
    <t>I350</t>
  </si>
  <si>
    <t>G8929</t>
  </si>
  <si>
    <t>I340</t>
  </si>
  <si>
    <t>I248</t>
  </si>
  <si>
    <t>R7881</t>
  </si>
  <si>
    <t>R740</t>
  </si>
  <si>
    <t>I447</t>
  </si>
  <si>
    <t>Z45018</t>
  </si>
  <si>
    <t>S2243XA</t>
  </si>
  <si>
    <t>I5033</t>
  </si>
  <si>
    <t>I462</t>
  </si>
  <si>
    <t>J9690</t>
  </si>
  <si>
    <t>M7981</t>
  </si>
  <si>
    <t>I080</t>
  </si>
  <si>
    <t>Y9289</t>
  </si>
  <si>
    <t>I132</t>
  </si>
  <si>
    <t>R339</t>
  </si>
  <si>
    <t>T17990A</t>
  </si>
  <si>
    <t>K565</t>
  </si>
  <si>
    <t>T814XXA</t>
  </si>
  <si>
    <t>M47817</t>
  </si>
  <si>
    <t>M96831</t>
  </si>
  <si>
    <t>L03311</t>
  </si>
  <si>
    <t>J952</t>
  </si>
  <si>
    <t>K7031</t>
  </si>
  <si>
    <t>Z6823</t>
  </si>
  <si>
    <t>Z720</t>
  </si>
  <si>
    <t>K7290</t>
  </si>
  <si>
    <t>A084</t>
  </si>
  <si>
    <t>I81</t>
  </si>
  <si>
    <t>30503</t>
  </si>
  <si>
    <t>07054</t>
  </si>
  <si>
    <t>5531</t>
  </si>
  <si>
    <t>56789</t>
  </si>
  <si>
    <t>K660</t>
  </si>
  <si>
    <t>D688</t>
  </si>
  <si>
    <t>K449</t>
  </si>
  <si>
    <t>Z5309</t>
  </si>
  <si>
    <t>I8510</t>
  </si>
  <si>
    <t>D6959</t>
  </si>
  <si>
    <t>B182</t>
  </si>
  <si>
    <t>J811</t>
  </si>
  <si>
    <t>K265</t>
  </si>
  <si>
    <t>K209</t>
  </si>
  <si>
    <t>I471</t>
  </si>
  <si>
    <t>K255</t>
  </si>
  <si>
    <t>Z6824</t>
  </si>
  <si>
    <t>F1011</t>
  </si>
  <si>
    <t>K3189</t>
  </si>
  <si>
    <t>Z6820</t>
  </si>
  <si>
    <t>R1084</t>
  </si>
  <si>
    <t>M47818</t>
  </si>
  <si>
    <t>K56600</t>
  </si>
  <si>
    <t>B1920</t>
  </si>
  <si>
    <t>04185</t>
  </si>
  <si>
    <t>V453</t>
  </si>
  <si>
    <t>V1551</t>
  </si>
  <si>
    <t>5680</t>
  </si>
  <si>
    <t>56989</t>
  </si>
  <si>
    <t>5720</t>
  </si>
  <si>
    <t>99749</t>
  </si>
  <si>
    <t>E8788</t>
  </si>
  <si>
    <t>04119</t>
  </si>
  <si>
    <t>86389</t>
  </si>
  <si>
    <t>E8654</t>
  </si>
  <si>
    <t>V140</t>
  </si>
  <si>
    <t>4264</t>
  </si>
  <si>
    <t>86405</t>
  </si>
  <si>
    <t>86401</t>
  </si>
  <si>
    <t>86801</t>
  </si>
  <si>
    <t>72888</t>
  </si>
  <si>
    <t>80506</t>
  </si>
  <si>
    <t>8052</t>
  </si>
  <si>
    <t>45829</t>
  </si>
  <si>
    <t>86100</t>
  </si>
  <si>
    <t>83908</t>
  </si>
  <si>
    <t>8602</t>
  </si>
  <si>
    <t>6926</t>
  </si>
  <si>
    <t>60886</t>
  </si>
  <si>
    <t>48241</t>
  </si>
  <si>
    <t>5718</t>
  </si>
  <si>
    <t>9585</t>
  </si>
  <si>
    <t>86121</t>
  </si>
  <si>
    <t>86803</t>
  </si>
  <si>
    <t>9584</t>
  </si>
  <si>
    <t>51851</t>
  </si>
  <si>
    <t>5770</t>
  </si>
  <si>
    <t>7837</t>
  </si>
  <si>
    <t>5762</t>
  </si>
  <si>
    <t>D329</t>
  </si>
  <si>
    <t>R6520</t>
  </si>
  <si>
    <t>L97514</t>
  </si>
  <si>
    <t>B181</t>
  </si>
  <si>
    <t>E1140</t>
  </si>
  <si>
    <t>R488</t>
  </si>
  <si>
    <t>B954</t>
  </si>
  <si>
    <t>B966</t>
  </si>
  <si>
    <t>Y831</t>
  </si>
  <si>
    <t>M86171</t>
  </si>
  <si>
    <t>D509</t>
  </si>
  <si>
    <t>Z89421</t>
  </si>
  <si>
    <t>E1169</t>
  </si>
  <si>
    <t>M726</t>
  </si>
  <si>
    <t>E11621</t>
  </si>
  <si>
    <t>T8249XA</t>
  </si>
  <si>
    <t>E1152</t>
  </si>
  <si>
    <t>I120</t>
  </si>
  <si>
    <t>R2232</t>
  </si>
  <si>
    <t>E1142</t>
  </si>
  <si>
    <t>E1151</t>
  </si>
  <si>
    <t>R200</t>
  </si>
  <si>
    <t>3572</t>
  </si>
  <si>
    <t>78701</t>
  </si>
  <si>
    <t>25082</t>
  </si>
  <si>
    <t>99591</t>
  </si>
  <si>
    <t>70715</t>
  </si>
  <si>
    <t>25062</t>
  </si>
  <si>
    <t>V4972</t>
  </si>
  <si>
    <t>E1121</t>
  </si>
  <si>
    <t>L97519</t>
  </si>
  <si>
    <t>25080</t>
  </si>
  <si>
    <t>73027</t>
  </si>
  <si>
    <t>7318</t>
  </si>
  <si>
    <t>25060</t>
  </si>
  <si>
    <t>0380</t>
  </si>
  <si>
    <t>V180</t>
  </si>
  <si>
    <t>04111</t>
  </si>
  <si>
    <t>S72145A</t>
  </si>
  <si>
    <t>W010XXA</t>
  </si>
  <si>
    <t>Y92121</t>
  </si>
  <si>
    <t>28529</t>
  </si>
  <si>
    <t>6827</t>
  </si>
  <si>
    <t>1123</t>
  </si>
  <si>
    <t>6929</t>
  </si>
  <si>
    <t>6826</t>
  </si>
  <si>
    <t>T827XXA</t>
  </si>
  <si>
    <t>E875</t>
  </si>
  <si>
    <t>I330</t>
  </si>
  <si>
    <t>E8770</t>
  </si>
  <si>
    <t>L851</t>
  </si>
  <si>
    <t>A4102</t>
  </si>
  <si>
    <t>K5900</t>
  </si>
  <si>
    <t>B356</t>
  </si>
  <si>
    <t>R5084</t>
  </si>
  <si>
    <t>A408</t>
  </si>
  <si>
    <t>R197</t>
  </si>
  <si>
    <t>E8339</t>
  </si>
  <si>
    <t>T82868A</t>
  </si>
  <si>
    <t>Y713</t>
  </si>
  <si>
    <t>Z95820</t>
  </si>
  <si>
    <t>L03114</t>
  </si>
  <si>
    <t>Z89431</t>
  </si>
  <si>
    <t>F1021</t>
  </si>
  <si>
    <t>L281</t>
  </si>
  <si>
    <t>L97511</t>
  </si>
  <si>
    <t>Z85828</t>
  </si>
  <si>
    <t>32723</t>
  </si>
  <si>
    <t>57450</t>
  </si>
  <si>
    <t>7892</t>
  </si>
  <si>
    <t>29570</t>
  </si>
  <si>
    <t>29660</t>
  </si>
  <si>
    <t>7840</t>
  </si>
  <si>
    <t>27652</t>
  </si>
  <si>
    <t>75310</t>
  </si>
  <si>
    <t>4592</t>
  </si>
  <si>
    <t>E912</t>
  </si>
  <si>
    <t>29520</t>
  </si>
  <si>
    <t>5772</t>
  </si>
  <si>
    <t>9331</t>
  </si>
  <si>
    <t>78009</t>
  </si>
  <si>
    <t>29574</t>
  </si>
  <si>
    <t>79021</t>
  </si>
  <si>
    <t>E8708</t>
  </si>
  <si>
    <t>2410</t>
  </si>
  <si>
    <t>1551</t>
  </si>
  <si>
    <t>44329</t>
  </si>
  <si>
    <t>70400</t>
  </si>
  <si>
    <t>V8541</t>
  </si>
  <si>
    <t>Z8673</t>
  </si>
  <si>
    <t>C6292</t>
  </si>
  <si>
    <t>D6481</t>
  </si>
  <si>
    <t>M7989</t>
  </si>
  <si>
    <t>F329</t>
  </si>
  <si>
    <t>H409</t>
  </si>
  <si>
    <t>Z950</t>
  </si>
  <si>
    <t>Z6834</t>
  </si>
  <si>
    <t>C9110</t>
  </si>
  <si>
    <t>B348</t>
  </si>
  <si>
    <t>E1136</t>
  </si>
  <si>
    <t>Z9884</t>
  </si>
  <si>
    <t>I110</t>
  </si>
  <si>
    <t>G4733</t>
  </si>
  <si>
    <t>Z6837</t>
  </si>
  <si>
    <t>F259</t>
  </si>
  <si>
    <t>I319</t>
  </si>
  <si>
    <t>I5032</t>
  </si>
  <si>
    <t>Z6836</t>
  </si>
  <si>
    <t>E861</t>
  </si>
  <si>
    <t>J208</t>
  </si>
  <si>
    <t>E222</t>
  </si>
  <si>
    <t>I69398</t>
  </si>
  <si>
    <t>B3749</t>
  </si>
  <si>
    <t>D630</t>
  </si>
  <si>
    <t>C6212</t>
  </si>
  <si>
    <t>F449</t>
  </si>
  <si>
    <t>T501X5A</t>
  </si>
  <si>
    <t>T451X5A</t>
  </si>
  <si>
    <t>E6601</t>
  </si>
  <si>
    <t>Z9049</t>
  </si>
  <si>
    <t>R001</t>
  </si>
  <si>
    <t>M19019</t>
  </si>
  <si>
    <t>F323</t>
  </si>
  <si>
    <t>C9111</t>
  </si>
  <si>
    <t>T383X1A</t>
  </si>
  <si>
    <t>M109</t>
  </si>
  <si>
    <t>Y929</t>
  </si>
  <si>
    <t>M533</t>
  </si>
  <si>
    <t>R51</t>
  </si>
  <si>
    <t>R0789</t>
  </si>
  <si>
    <t>R569</t>
  </si>
  <si>
    <t>Z8547</t>
  </si>
  <si>
    <t>R61</t>
  </si>
  <si>
    <t>R638</t>
  </si>
  <si>
    <t>R1013</t>
  </si>
  <si>
    <t>Z8719</t>
  </si>
  <si>
    <t>R748</t>
  </si>
  <si>
    <t>I309</t>
  </si>
  <si>
    <t>Z7984</t>
  </si>
  <si>
    <t>F09</t>
  </si>
  <si>
    <t>F325</t>
  </si>
  <si>
    <t>I69344</t>
  </si>
  <si>
    <t>I495</t>
  </si>
  <si>
    <t>F447</t>
  </si>
  <si>
    <t>L299</t>
  </si>
  <si>
    <t>H53462</t>
  </si>
  <si>
    <t>E11649</t>
  </si>
  <si>
    <t>H8110</t>
  </si>
  <si>
    <t>R2240</t>
  </si>
  <si>
    <t>R509</t>
  </si>
  <si>
    <t>F05</t>
  </si>
  <si>
    <t>C6290</t>
  </si>
  <si>
    <t>I493</t>
  </si>
  <si>
    <t>Z5111</t>
  </si>
  <si>
    <t>E781</t>
  </si>
  <si>
    <t>M19012</t>
  </si>
  <si>
    <t>T508X5A</t>
  </si>
  <si>
    <t>Y92238</t>
  </si>
  <si>
    <t>M160</t>
  </si>
  <si>
    <t>R7989</t>
  </si>
  <si>
    <t>N141</t>
  </si>
  <si>
    <t>L853</t>
  </si>
  <si>
    <t>K289</t>
  </si>
  <si>
    <t>R5383</t>
  </si>
  <si>
    <t>K9589</t>
  </si>
  <si>
    <t>K316</t>
  </si>
  <si>
    <t>M19011</t>
  </si>
  <si>
    <t>F3340</t>
  </si>
  <si>
    <t>T402X5A</t>
  </si>
  <si>
    <t>I69354</t>
  </si>
  <si>
    <t>R319</t>
  </si>
  <si>
    <t>M7071</t>
  </si>
  <si>
    <t>F0390</t>
  </si>
  <si>
    <t>K635</t>
  </si>
  <si>
    <t>K625</t>
  </si>
  <si>
    <t>K648</t>
  </si>
  <si>
    <t>R791</t>
  </si>
  <si>
    <t>M549</t>
  </si>
  <si>
    <t>K6389</t>
  </si>
  <si>
    <t>M25519</t>
  </si>
  <si>
    <t>I481</t>
  </si>
  <si>
    <t>G629</t>
  </si>
  <si>
    <t>E0865</t>
  </si>
  <si>
    <t>G8194</t>
  </si>
  <si>
    <t>R600</t>
  </si>
  <si>
    <t>R1030</t>
  </si>
  <si>
    <t>M1990</t>
  </si>
  <si>
    <t>M719</t>
  </si>
  <si>
    <t>G3184</t>
  </si>
  <si>
    <t>I314</t>
  </si>
  <si>
    <t>I313</t>
  </si>
  <si>
    <t>M940</t>
  </si>
  <si>
    <t>F1020</t>
  </si>
  <si>
    <t>A4189</t>
  </si>
  <si>
    <t>E46</t>
  </si>
  <si>
    <t>K859</t>
  </si>
  <si>
    <t>K7010</t>
  </si>
  <si>
    <t>E5112</t>
  </si>
  <si>
    <t>R64</t>
  </si>
  <si>
    <t>K7460</t>
  </si>
  <si>
    <t>T8242XA</t>
  </si>
  <si>
    <t>Y828</t>
  </si>
  <si>
    <t>E59</t>
  </si>
  <si>
    <t>I82401</t>
  </si>
  <si>
    <t>I5021</t>
  </si>
  <si>
    <t>R34</t>
  </si>
  <si>
    <t>D124</t>
  </si>
  <si>
    <t>D61818</t>
  </si>
  <si>
    <t>K7030</t>
  </si>
  <si>
    <t>J690</t>
  </si>
  <si>
    <t>J9691</t>
  </si>
  <si>
    <t>Z681</t>
  </si>
  <si>
    <t>K5730</t>
  </si>
  <si>
    <t>E873</t>
  </si>
  <si>
    <t>G9340</t>
  </si>
  <si>
    <t>I5181</t>
  </si>
  <si>
    <t>R680</t>
  </si>
  <si>
    <t>E60</t>
  </si>
  <si>
    <t>2651</t>
  </si>
  <si>
    <t>K921</t>
  </si>
  <si>
    <t>S0003XA</t>
  </si>
  <si>
    <t>W108XXA</t>
  </si>
  <si>
    <t>S20221A</t>
  </si>
  <si>
    <t>S40022A</t>
  </si>
  <si>
    <t>S20222A</t>
  </si>
  <si>
    <t>Z8711</t>
  </si>
  <si>
    <t>S40021A</t>
  </si>
  <si>
    <t>S8012XA</t>
  </si>
  <si>
    <t>K7040</t>
  </si>
  <si>
    <t>S8011XA</t>
  </si>
  <si>
    <t>F10251</t>
  </si>
  <si>
    <t>Y92018</t>
  </si>
  <si>
    <t>Z91128</t>
  </si>
  <si>
    <t>F1019</t>
  </si>
  <si>
    <t>T473X6A</t>
  </si>
  <si>
    <t>D539</t>
  </si>
  <si>
    <t>Z980</t>
  </si>
  <si>
    <t>K284</t>
  </si>
  <si>
    <t>R300</t>
  </si>
  <si>
    <t>K861</t>
  </si>
  <si>
    <t>I8511</t>
  </si>
  <si>
    <t>N281</t>
  </si>
  <si>
    <t>K8520</t>
  </si>
  <si>
    <t>K7681</t>
  </si>
  <si>
    <t>K7011</t>
  </si>
  <si>
    <t>Z6830</t>
  </si>
  <si>
    <t>D689</t>
  </si>
  <si>
    <t>N184</t>
  </si>
  <si>
    <t>K860</t>
  </si>
  <si>
    <t>V08</t>
  </si>
  <si>
    <t>07071</t>
  </si>
  <si>
    <t>29680</t>
  </si>
  <si>
    <t>V462</t>
  </si>
  <si>
    <t>07044</t>
  </si>
  <si>
    <t>V1271</t>
  </si>
  <si>
    <t>2989</t>
  </si>
  <si>
    <t>7813</t>
  </si>
  <si>
    <t>7260</t>
  </si>
  <si>
    <t>V1588</t>
  </si>
  <si>
    <t>K3580</t>
  </si>
  <si>
    <t>Z801</t>
  </si>
  <si>
    <t>M545</t>
  </si>
  <si>
    <t>C029</t>
  </si>
  <si>
    <t>Z8049</t>
  </si>
  <si>
    <t>6273</t>
  </si>
  <si>
    <t>25022</t>
  </si>
  <si>
    <t>61650</t>
  </si>
  <si>
    <t>1419</t>
  </si>
  <si>
    <t>7919</t>
  </si>
  <si>
    <t>9623</t>
  </si>
  <si>
    <t>75249</t>
  </si>
  <si>
    <t>78065</t>
  </si>
  <si>
    <t>E8580</t>
  </si>
  <si>
    <t>V1302</t>
  </si>
  <si>
    <t>4870</t>
  </si>
  <si>
    <t>1121</t>
  </si>
  <si>
    <t>00845</t>
  </si>
  <si>
    <t>33829</t>
  </si>
  <si>
    <t>99931</t>
  </si>
  <si>
    <t>6824</t>
  </si>
  <si>
    <t>38531</t>
  </si>
  <si>
    <t>38010</t>
  </si>
  <si>
    <t>S2232XA</t>
  </si>
  <si>
    <t>Z85810</t>
  </si>
  <si>
    <t>S22068A</t>
  </si>
  <si>
    <t>R1012</t>
  </si>
  <si>
    <t>9243</t>
  </si>
  <si>
    <t>23871</t>
  </si>
  <si>
    <t>59969</t>
  </si>
  <si>
    <t>4660</t>
  </si>
  <si>
    <t>4940</t>
  </si>
  <si>
    <t>D89813</t>
  </si>
  <si>
    <t>B59</t>
  </si>
  <si>
    <t>H1133</t>
  </si>
  <si>
    <t>R5081</t>
  </si>
  <si>
    <t>Z9484</t>
  </si>
  <si>
    <t>R042</t>
  </si>
  <si>
    <t>Z781</t>
  </si>
  <si>
    <t>D709</t>
  </si>
  <si>
    <t>J159</t>
  </si>
  <si>
    <t>Z9012</t>
  </si>
  <si>
    <t>G893</t>
  </si>
  <si>
    <t>B441</t>
  </si>
  <si>
    <t>C92Z0</t>
  </si>
  <si>
    <t>99933</t>
  </si>
  <si>
    <t>28419</t>
  </si>
  <si>
    <t>4846</t>
  </si>
  <si>
    <t>1173</t>
  </si>
  <si>
    <t>20500</t>
  </si>
  <si>
    <t>V6402</t>
  </si>
  <si>
    <t>4809</t>
  </si>
  <si>
    <t>28804</t>
  </si>
  <si>
    <t>E9348</t>
  </si>
  <si>
    <t>5733</t>
  </si>
  <si>
    <t>99932</t>
  </si>
  <si>
    <t>78061</t>
  </si>
  <si>
    <t>7907</t>
  </si>
  <si>
    <t>61172</t>
  </si>
  <si>
    <t>3393</t>
  </si>
  <si>
    <t>E9319</t>
  </si>
  <si>
    <t>V160</t>
  </si>
  <si>
    <t>78605</t>
  </si>
  <si>
    <t>V4281</t>
  </si>
  <si>
    <t>V8739</t>
  </si>
  <si>
    <t>V4571</t>
  </si>
  <si>
    <t>T361X5A</t>
  </si>
  <si>
    <t>Z792</t>
  </si>
  <si>
    <t>Z79810</t>
  </si>
  <si>
    <t>Z6826</t>
  </si>
  <si>
    <t>R634</t>
  </si>
  <si>
    <t>G44209</t>
  </si>
  <si>
    <t>Z20828</t>
  </si>
  <si>
    <t>C92Z2</t>
  </si>
  <si>
    <t>I951</t>
  </si>
  <si>
    <t>K521</t>
  </si>
  <si>
    <t>C9202</t>
  </si>
  <si>
    <t>7905</t>
  </si>
  <si>
    <t>V5811</t>
  </si>
  <si>
    <t>20501</t>
  </si>
  <si>
    <t>1759</t>
  </si>
  <si>
    <t>2330</t>
  </si>
  <si>
    <t>V169</t>
  </si>
  <si>
    <t>V860</t>
  </si>
  <si>
    <t>7830</t>
  </si>
  <si>
    <t>28411</t>
  </si>
  <si>
    <t>V141</t>
  </si>
  <si>
    <t>78702</t>
  </si>
  <si>
    <t>3004</t>
  </si>
  <si>
    <t>515</t>
  </si>
  <si>
    <t>E8706</t>
  </si>
  <si>
    <t>9168</t>
  </si>
  <si>
    <t>5168</t>
  </si>
  <si>
    <t>V8542</t>
  </si>
  <si>
    <t>45981</t>
  </si>
  <si>
    <t>11289</t>
  </si>
  <si>
    <t>E9289</t>
  </si>
  <si>
    <t>8449</t>
  </si>
  <si>
    <t>3940</t>
  </si>
  <si>
    <t>5730</t>
  </si>
  <si>
    <t>V8801</t>
  </si>
  <si>
    <t>I739</t>
  </si>
  <si>
    <t>N319</t>
  </si>
  <si>
    <t>Z86711</t>
  </si>
  <si>
    <t>C73</t>
  </si>
  <si>
    <t>V8521</t>
  </si>
  <si>
    <t>5589</t>
  </si>
  <si>
    <t>73300</t>
  </si>
  <si>
    <t>59654</t>
  </si>
  <si>
    <t>2411</t>
  </si>
  <si>
    <t>4414</t>
  </si>
  <si>
    <t>J398</t>
  </si>
  <si>
    <t>I82622</t>
  </si>
  <si>
    <t>J9622</t>
  </si>
  <si>
    <t>K5790</t>
  </si>
  <si>
    <t>M19072</t>
  </si>
  <si>
    <t>K8020</t>
  </si>
  <si>
    <t>E042</t>
  </si>
  <si>
    <t>M1000</t>
  </si>
  <si>
    <t>Z6829</t>
  </si>
  <si>
    <t>4150</t>
  </si>
  <si>
    <t>7842</t>
  </si>
  <si>
    <t>0413</t>
  </si>
  <si>
    <t>7804</t>
  </si>
  <si>
    <t>E0520</t>
  </si>
  <si>
    <t>N400</t>
  </si>
  <si>
    <t>R5381</t>
  </si>
  <si>
    <t>L03116</t>
  </si>
  <si>
    <t>H3530</t>
  </si>
  <si>
    <t>Q6432</t>
  </si>
  <si>
    <t>F4329</t>
  </si>
  <si>
    <t>Z953</t>
  </si>
  <si>
    <t>Z87442</t>
  </si>
  <si>
    <t>I5042</t>
  </si>
  <si>
    <t>T81718A</t>
  </si>
  <si>
    <t>N401</t>
  </si>
  <si>
    <t>I482</t>
  </si>
  <si>
    <t>T370X5A</t>
  </si>
  <si>
    <t>I724</t>
  </si>
  <si>
    <t>D702</t>
  </si>
  <si>
    <t>L723</t>
  </si>
  <si>
    <t>B964</t>
  </si>
  <si>
    <t>R3911</t>
  </si>
  <si>
    <t>Z923</t>
  </si>
  <si>
    <t>C946</t>
  </si>
  <si>
    <t>C9590</t>
  </si>
  <si>
    <t>K264</t>
  </si>
  <si>
    <t>Z6833</t>
  </si>
  <si>
    <t>R823</t>
  </si>
  <si>
    <t>D599</t>
  </si>
  <si>
    <t>D46Z</t>
  </si>
  <si>
    <t>E790</t>
  </si>
  <si>
    <t>I2720</t>
  </si>
  <si>
    <t>6202</t>
  </si>
  <si>
    <t>4928</t>
  </si>
  <si>
    <t>M351</t>
  </si>
  <si>
    <t>D735</t>
  </si>
  <si>
    <t>R161</t>
  </si>
  <si>
    <t>R109</t>
  </si>
  <si>
    <t>D469</t>
  </si>
  <si>
    <t>J60</t>
  </si>
  <si>
    <t>B009</t>
  </si>
  <si>
    <t>Y842</t>
  </si>
  <si>
    <t>Z1611</t>
  </si>
  <si>
    <t>B961</t>
  </si>
  <si>
    <t>K259</t>
  </si>
  <si>
    <t>T504X5A</t>
  </si>
  <si>
    <t>D471</t>
  </si>
  <si>
    <t>L271</t>
  </si>
  <si>
    <t>I6340</t>
  </si>
  <si>
    <t>I69893</t>
  </si>
  <si>
    <t>R2681</t>
  </si>
  <si>
    <t>G8191</t>
  </si>
  <si>
    <t>I69392</t>
  </si>
  <si>
    <t>D72819</t>
  </si>
  <si>
    <t>72989</t>
  </si>
  <si>
    <t>43889</t>
  </si>
  <si>
    <t>F309</t>
  </si>
  <si>
    <t>R12</t>
  </si>
  <si>
    <t>J9809</t>
  </si>
  <si>
    <t>R1319</t>
  </si>
  <si>
    <t>C3490</t>
  </si>
  <si>
    <t>B370</t>
  </si>
  <si>
    <t>M797</t>
  </si>
  <si>
    <t>B9562</t>
  </si>
  <si>
    <t>K222</t>
  </si>
  <si>
    <t>C3402</t>
  </si>
  <si>
    <t>Z8701</t>
  </si>
  <si>
    <t>M5430</t>
  </si>
  <si>
    <t>R1310</t>
  </si>
  <si>
    <t>B379</t>
  </si>
  <si>
    <t>C3401</t>
  </si>
  <si>
    <t>99674</t>
  </si>
  <si>
    <t>1571</t>
  </si>
  <si>
    <t>56889</t>
  </si>
  <si>
    <t>4568</t>
  </si>
  <si>
    <t>78094</t>
  </si>
  <si>
    <t>4471</t>
  </si>
  <si>
    <t>1977</t>
  </si>
  <si>
    <t>99731</t>
  </si>
  <si>
    <t>V4611</t>
  </si>
  <si>
    <t>E9358</t>
  </si>
  <si>
    <t>5921</t>
  </si>
  <si>
    <t>1541</t>
  </si>
  <si>
    <t>V1351</t>
  </si>
  <si>
    <t>V446</t>
  </si>
  <si>
    <t>56942</t>
  </si>
  <si>
    <t>E9342</t>
  </si>
  <si>
    <t>E9320</t>
  </si>
  <si>
    <t>5934</t>
  </si>
  <si>
    <t>78079</t>
  </si>
  <si>
    <t>1543</t>
  </si>
  <si>
    <t>71596</t>
  </si>
  <si>
    <t>2555</t>
  </si>
  <si>
    <t>E9478</t>
  </si>
  <si>
    <t>1122</t>
  </si>
  <si>
    <t>42832</t>
  </si>
  <si>
    <t>28412</t>
  </si>
  <si>
    <t>1548</t>
  </si>
  <si>
    <t>71536</t>
  </si>
  <si>
    <t>59972</t>
  </si>
  <si>
    <t>C211</t>
  </si>
  <si>
    <t>M179</t>
  </si>
  <si>
    <t>K311</t>
  </si>
  <si>
    <t>T8359XA</t>
  </si>
  <si>
    <t>C7889</t>
  </si>
  <si>
    <t>Z433</t>
  </si>
  <si>
    <t>C786</t>
  </si>
  <si>
    <t>Q620</t>
  </si>
  <si>
    <t>K5660</t>
  </si>
  <si>
    <t>N12</t>
  </si>
  <si>
    <t>T8131XA</t>
  </si>
  <si>
    <t>81600</t>
  </si>
  <si>
    <t>V6441</t>
  </si>
  <si>
    <t>E887</t>
  </si>
  <si>
    <t>99809</t>
  </si>
  <si>
    <t>V8533</t>
  </si>
  <si>
    <t>99594</t>
  </si>
  <si>
    <t>56089</t>
  </si>
  <si>
    <t>45383</t>
  </si>
  <si>
    <t>55320</t>
  </si>
  <si>
    <t>99604</t>
  </si>
  <si>
    <t>E8498</t>
  </si>
  <si>
    <t>4263</t>
  </si>
  <si>
    <t>E8768</t>
  </si>
  <si>
    <t>29532</t>
  </si>
  <si>
    <t>9961</t>
  </si>
  <si>
    <t>4259</t>
  </si>
  <si>
    <t>V1052</t>
  </si>
  <si>
    <t>29530</t>
  </si>
  <si>
    <t>7852</t>
  </si>
  <si>
    <t>T43505S</t>
  </si>
  <si>
    <t>Z85528</t>
  </si>
  <si>
    <t>I427</t>
  </si>
  <si>
    <t>F200</t>
  </si>
  <si>
    <t>I081</t>
  </si>
  <si>
    <t>Z905</t>
  </si>
  <si>
    <t>I071</t>
  </si>
  <si>
    <t>E874</t>
  </si>
  <si>
    <t>I420</t>
  </si>
  <si>
    <t>T8089XA</t>
  </si>
  <si>
    <t>Z4502</t>
  </si>
  <si>
    <t>R112</t>
  </si>
  <si>
    <t>7530</t>
  </si>
  <si>
    <t>V5331</t>
  </si>
  <si>
    <t>40491</t>
  </si>
  <si>
    <t>V8523</t>
  </si>
  <si>
    <t>3970</t>
  </si>
  <si>
    <t>E806</t>
  </si>
  <si>
    <t>I361</t>
  </si>
  <si>
    <t>I428</t>
  </si>
  <si>
    <t>7197</t>
  </si>
  <si>
    <t>92320</t>
  </si>
  <si>
    <t>E9063</t>
  </si>
  <si>
    <t>78057</t>
  </si>
  <si>
    <t>7823</t>
  </si>
  <si>
    <t>71650</t>
  </si>
  <si>
    <t>59960</t>
  </si>
  <si>
    <t>5305</t>
  </si>
  <si>
    <t>I082</t>
  </si>
  <si>
    <t>4149</t>
  </si>
  <si>
    <t>1741</t>
  </si>
  <si>
    <t>L0591</t>
  </si>
  <si>
    <t>I69351</t>
  </si>
  <si>
    <t>I69322</t>
  </si>
  <si>
    <t>G92</t>
  </si>
  <si>
    <t>I69391</t>
  </si>
  <si>
    <t>I5043</t>
  </si>
  <si>
    <t>A0472</t>
  </si>
  <si>
    <t>43310</t>
  </si>
  <si>
    <t>78469</t>
  </si>
  <si>
    <t>43491</t>
  </si>
  <si>
    <t>82021</t>
  </si>
  <si>
    <t>43811</t>
  </si>
  <si>
    <t>V090</t>
  </si>
  <si>
    <t>5559</t>
  </si>
  <si>
    <t>Y92199</t>
  </si>
  <si>
    <t>S82251A</t>
  </si>
  <si>
    <t>H548</t>
  </si>
  <si>
    <t>R21</t>
  </si>
  <si>
    <t>J918</t>
  </si>
  <si>
    <t>H540</t>
  </si>
  <si>
    <t>4473</t>
  </si>
  <si>
    <t>42830</t>
  </si>
  <si>
    <t>L97429</t>
  </si>
  <si>
    <t>L97229</t>
  </si>
  <si>
    <t>I70262</t>
  </si>
  <si>
    <t>E11622</t>
  </si>
  <si>
    <t>E11628</t>
  </si>
  <si>
    <t>L97419</t>
  </si>
  <si>
    <t>L97523</t>
  </si>
  <si>
    <t>4401</t>
  </si>
  <si>
    <t>30521</t>
  </si>
  <si>
    <t>6820</t>
  </si>
  <si>
    <t>V8536</t>
  </si>
  <si>
    <t>L89899</t>
  </si>
  <si>
    <t>L97529</t>
  </si>
  <si>
    <t>R159</t>
  </si>
  <si>
    <t>Z1623</t>
  </si>
  <si>
    <t>Z1621</t>
  </si>
  <si>
    <t>K5903</t>
  </si>
  <si>
    <t>B952</t>
  </si>
  <si>
    <t>H34239</t>
  </si>
  <si>
    <t>G43109</t>
  </si>
  <si>
    <t>R918</t>
  </si>
  <si>
    <t>E278</t>
  </si>
  <si>
    <t>I701</t>
  </si>
  <si>
    <t>J441</t>
  </si>
  <si>
    <t>Z800</t>
  </si>
  <si>
    <t>W208XXA</t>
  </si>
  <si>
    <t>K5791</t>
  </si>
  <si>
    <t>S9032XA</t>
  </si>
  <si>
    <t>I7789</t>
  </si>
  <si>
    <t>V8537</t>
  </si>
  <si>
    <t>25040</t>
  </si>
  <si>
    <t>V0179</t>
  </si>
  <si>
    <t>71940</t>
  </si>
  <si>
    <t>36230</t>
  </si>
  <si>
    <t>T465X5A</t>
  </si>
  <si>
    <t>30183</t>
  </si>
  <si>
    <t>G1221</t>
  </si>
  <si>
    <t>Z930</t>
  </si>
  <si>
    <t>R4182</t>
  </si>
  <si>
    <t>G3109</t>
  </si>
  <si>
    <t>D721</t>
  </si>
  <si>
    <t>N10</t>
  </si>
  <si>
    <t>B9620</t>
  </si>
  <si>
    <t>J9610</t>
  </si>
  <si>
    <t>Z931</t>
  </si>
  <si>
    <t>T360X5A</t>
  </si>
  <si>
    <t>Z430</t>
  </si>
  <si>
    <t>Z4689</t>
  </si>
  <si>
    <t>Z434</t>
  </si>
  <si>
    <t>Z8546</t>
  </si>
  <si>
    <t>I6521</t>
  </si>
  <si>
    <t>Z8571</t>
  </si>
  <si>
    <t>Z952</t>
  </si>
  <si>
    <t>V4581</t>
  </si>
  <si>
    <t>V422</t>
  </si>
  <si>
    <t>20190</t>
  </si>
  <si>
    <t>I6522</t>
  </si>
  <si>
    <t>V1079</t>
  </si>
  <si>
    <t>V4579</t>
  </si>
  <si>
    <t>V1072</t>
  </si>
  <si>
    <t>3968</t>
  </si>
  <si>
    <t>F28</t>
  </si>
  <si>
    <t>F319</t>
  </si>
  <si>
    <t>K047</t>
  </si>
  <si>
    <t>F5001</t>
  </si>
  <si>
    <t>E038</t>
  </si>
  <si>
    <t>R1312</t>
  </si>
  <si>
    <t>F514</t>
  </si>
  <si>
    <t>F1220</t>
  </si>
  <si>
    <t>T17920A</t>
  </si>
  <si>
    <t>T4275XA</t>
  </si>
  <si>
    <t>R490</t>
  </si>
  <si>
    <t>I4581</t>
  </si>
  <si>
    <t>Z1639</t>
  </si>
  <si>
    <t>I2602</t>
  </si>
  <si>
    <t>F603</t>
  </si>
  <si>
    <t>W1830XD</t>
  </si>
  <si>
    <t>J309</t>
  </si>
  <si>
    <t>M720</t>
  </si>
  <si>
    <t>F209</t>
  </si>
  <si>
    <t>L570</t>
  </si>
  <si>
    <t>Z8674</t>
  </si>
  <si>
    <t>L409</t>
  </si>
  <si>
    <t>M810</t>
  </si>
  <si>
    <t>J95811</t>
  </si>
  <si>
    <t>H269</t>
  </si>
  <si>
    <t>H6120</t>
  </si>
  <si>
    <t>G931</t>
  </si>
  <si>
    <t>S42291D</t>
  </si>
  <si>
    <t>I82621</t>
  </si>
  <si>
    <t>M542</t>
  </si>
  <si>
    <t>R45851</t>
  </si>
  <si>
    <t>Z9114</t>
  </si>
  <si>
    <t>B20</t>
  </si>
  <si>
    <t>S0990XA</t>
  </si>
  <si>
    <t>F10129</t>
  </si>
  <si>
    <t>E162</t>
  </si>
  <si>
    <t>V620</t>
  </si>
  <si>
    <t>3559</t>
  </si>
  <si>
    <t>30560</t>
  </si>
  <si>
    <t>V1552</t>
  </si>
  <si>
    <t>30001</t>
  </si>
  <si>
    <t>V6284</t>
  </si>
  <si>
    <t>V600</t>
  </si>
  <si>
    <t>7801</t>
  </si>
  <si>
    <t>30590</t>
  </si>
  <si>
    <t>F1099</t>
  </si>
  <si>
    <t>Z87820</t>
  </si>
  <si>
    <t>F1490</t>
  </si>
  <si>
    <t>F1994</t>
  </si>
  <si>
    <t>29284</t>
  </si>
  <si>
    <t>6253</t>
  </si>
  <si>
    <t>29633</t>
  </si>
  <si>
    <t>30553</t>
  </si>
  <si>
    <t>37950</t>
  </si>
  <si>
    <t>2511</t>
  </si>
  <si>
    <t>F29</t>
  </si>
  <si>
    <t>F1910</t>
  </si>
  <si>
    <t>Z21</t>
  </si>
  <si>
    <t>F1110</t>
  </si>
  <si>
    <t>F1410</t>
  </si>
  <si>
    <t>33819</t>
  </si>
  <si>
    <t>24900</t>
  </si>
  <si>
    <t>V443</t>
  </si>
  <si>
    <t>78909</t>
  </si>
  <si>
    <t>1179</t>
  </si>
  <si>
    <t>5778</t>
  </si>
  <si>
    <t>V1279</t>
  </si>
  <si>
    <t>6930</t>
  </si>
  <si>
    <t>5771</t>
  </si>
  <si>
    <t>45385</t>
  </si>
  <si>
    <t>Z981</t>
  </si>
  <si>
    <t>V499XXA</t>
  </si>
  <si>
    <t>S22069A</t>
  </si>
  <si>
    <t>G43909</t>
  </si>
  <si>
    <t>M40209</t>
  </si>
  <si>
    <t>S22059A</t>
  </si>
  <si>
    <t>S22049A</t>
  </si>
  <si>
    <t>V270XXA</t>
  </si>
  <si>
    <t>S271XXA</t>
  </si>
  <si>
    <t>F1290</t>
  </si>
  <si>
    <t>S066X0A</t>
  </si>
  <si>
    <t>S12600A</t>
  </si>
  <si>
    <t>S240XXA</t>
  </si>
  <si>
    <t>S32029A</t>
  </si>
  <si>
    <t>E041</t>
  </si>
  <si>
    <t>Y92488</t>
  </si>
  <si>
    <t>V8609XS</t>
  </si>
  <si>
    <t>M25511</t>
  </si>
  <si>
    <t>F1210</t>
  </si>
  <si>
    <t>29281</t>
  </si>
  <si>
    <t>7102</t>
  </si>
  <si>
    <t>E9393</t>
  </si>
  <si>
    <t>S79912A</t>
  </si>
  <si>
    <t>H04123</t>
  </si>
  <si>
    <t>Z961</t>
  </si>
  <si>
    <t>Y92129</t>
  </si>
  <si>
    <t>E049</t>
  </si>
  <si>
    <t>M5030</t>
  </si>
  <si>
    <t>M4856XA</t>
  </si>
  <si>
    <t>W1839XA</t>
  </si>
  <si>
    <t>H53143</t>
  </si>
  <si>
    <t>S4992XA</t>
  </si>
  <si>
    <t>M3500</t>
  </si>
  <si>
    <t>M8008XA</t>
  </si>
  <si>
    <t>K922</t>
  </si>
  <si>
    <t>V1261</t>
  </si>
  <si>
    <t>2469</t>
  </si>
  <si>
    <t>E8859</t>
  </si>
  <si>
    <t>82009</t>
  </si>
  <si>
    <t>42843</t>
  </si>
  <si>
    <t>03843</t>
  </si>
  <si>
    <t>0383</t>
  </si>
  <si>
    <t>5768</t>
  </si>
  <si>
    <t>4739</t>
  </si>
  <si>
    <t>5809</t>
  </si>
  <si>
    <t>48249</t>
  </si>
  <si>
    <t>5829</t>
  </si>
  <si>
    <t>E9383</t>
  </si>
  <si>
    <t>34290</t>
  </si>
  <si>
    <t>40300</t>
  </si>
  <si>
    <t>0416</t>
  </si>
  <si>
    <t>3129</t>
  </si>
  <si>
    <t>age</t>
  </si>
  <si>
    <t>age_group</t>
  </si>
  <si>
    <t>Row Labels</t>
  </si>
  <si>
    <t>50-70</t>
  </si>
  <si>
    <t>70+</t>
  </si>
  <si>
    <t>Grand Total</t>
  </si>
  <si>
    <t>Average of hospital_expire_flag</t>
  </si>
  <si>
    <t>Count of icd_code</t>
  </si>
  <si>
    <t>Healthcare EHR Analysis Dashboard</t>
  </si>
  <si>
    <t>Total Admissions</t>
  </si>
  <si>
    <t>Total Deaths</t>
  </si>
  <si>
    <t>Mortality Rate</t>
  </si>
  <si>
    <t>Higher mortality observed in patients aged 70+, indicating increased risk with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</si>
</sst>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theme="1"/>
      <name val="Aptos Narrow (Body)"/>
    </font>
    <font>
      <b/>
      <sz val="22"/>
      <color theme="0"/>
      <name val="Aptos Narrow"/>
      <scheme val="minor"/>
    </font>
    <font>
      <b/>
      <sz val="16"/>
      <color theme="0"/>
      <name val="Aptos Narrow"/>
      <scheme val="minor"/>
    </font>
    <font>
      <sz val="16"/>
      <color theme="0"/>
      <name val="Aptos Narrow"/>
      <scheme val="minor"/>
    </font>
    <font>
      <sz val="18"/>
      <color theme="3" tint="0.249977111117893"/>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xf numFmtId="0" fontId="4" fillId="3" borderId="0" xfId="0" applyFont="1" applyFill="1" applyAlignment="1"/>
    <xf numFmtId="0" fontId="5" fillId="0" borderId="0" xfId="0" applyFont="1" applyAlignment="1">
      <alignment horizontal="center" vertical="center"/>
    </xf>
    <xf numFmtId="10" fontId="5" fillId="0" borderId="0" xfId="0" applyNumberFormat="1" applyFont="1" applyAlignment="1">
      <alignment horizontal="center" vertical="center"/>
    </xf>
    <xf numFmtId="0" fontId="1" fillId="0" borderId="0" xfId="0" applyFont="1" applyAlignment="1">
      <alignment horizontal="center" vertical="center"/>
    </xf>
  </cellXfs>
  <cellStyles count="1">
    <cellStyle name="Normal" xfId="0" builtinId="0"/>
  </cellStyles>
  <dxfs count="4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27" formatCode="m/d/yy\ h:mm"/>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27" formatCode="m/d/yy\ h:mm"/>
    </dxf>
    <dxf>
      <numFmt numFmtId="27" formatCode="m/d/yy\ h:mm"/>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[dashboard.xlsx]Mortality_Analysis!PivotTable1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Mortality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Mortality_Analysis!$B$3</c:f>
              <c:strCache>
                <c:ptCount val="1"/>
                <c:pt idx="0">
                  <c:v>Total</c:v>
                </c:pt>
              </c:strCache>
            </c:strRef>
          </c:tx>
          <c:spPr>
            <a:solidFill>
              <a:schemeClr val="accent1"/>
            </a:solidFill>
            <a:ln>
              <a:noFill/>
            </a:ln>
            <a:effectLst/>
          </c:spPr>
          <c:invertIfNegative val="0"/>
          <c:cat>
            <c:strRef>
              <c:f>Mortality_Analysis!$A$4:$A$6</c:f>
              <c:strCache>
                <c:ptCount val="2"/>
                <c:pt idx="0">
                  <c:v>70+</c:v>
                </c:pt>
                <c:pt idx="1">
                  <c:v>50-70</c:v>
                </c:pt>
              </c:strCache>
            </c:strRef>
          </c:cat>
          <c:val>
            <c:numRef>
              <c:f>Mortality_Analysis!$B$4:$B$6</c:f>
              <c:numCache>
                <c:formatCode>0.00%</c:formatCode>
                <c:ptCount val="2"/>
                <c:pt idx="0">
                  <c:v>0.13043478260869565</c:v>
                </c:pt>
                <c:pt idx="1">
                  <c:v>9.1836734693877556E-2</c:v>
                </c:pt>
              </c:numCache>
            </c:numRef>
          </c:val>
          <c:extLst>
            <c:ext xmlns:c16="http://schemas.microsoft.com/office/drawing/2014/chart" uri="{C3380CC4-5D6E-409C-BE32-E72D297353CC}">
              <c16:uniqueId val="{00000000-416E-6041-A003-2BBA89594CC5}"/>
            </c:ext>
          </c:extLst>
        </c:ser>
        <c:dLbls>
          <c:showLegendKey val="0"/>
          <c:showVal val="0"/>
          <c:showCatName val="0"/>
          <c:showSerName val="0"/>
          <c:showPercent val="0"/>
          <c:showBubbleSize val="0"/>
        </c:dLbls>
        <c:gapWidth val="219"/>
        <c:overlap val="-27"/>
        <c:axId val="251644176"/>
        <c:axId val="2117965664"/>
      </c:barChart>
      <c:catAx>
        <c:axId val="251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65664"/>
        <c:crosses val="autoZero"/>
        <c:auto val="1"/>
        <c:lblAlgn val="ctr"/>
        <c:lblOffset val="100"/>
        <c:noMultiLvlLbl val="0"/>
      </c:catAx>
      <c:valAx>
        <c:axId val="2117965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64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[dashboard.xlsx]top_diseases!PivotTable2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Top 10 Most Common Diseases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top_diseases!$B$3</c:f>
              <c:strCache>
                <c:ptCount val="1"/>
                <c:pt idx="0">
                  <c:v>Total</c:v>
                </c:pt>
              </c:strCache>
            </c:strRef>
          </c:tx>
          <c:spPr>
            <a:solidFill>
              <a:schemeClr val="accent1"/>
            </a:solidFill>
            <a:ln>
              <a:noFill/>
            </a:ln>
            <a:effectLst/>
          </c:spPr>
          <c:invertIfNegative val="0"/>
          <c:cat>
            <c:strRef>
              <c:f>top_diseases!$A$4:$A$19</c:f>
              <c:strCache>
                <c:ptCount val="15"/>
                <c:pt idx="0">
                  <c:v>V1582</c:v>
                </c:pt>
                <c:pt idx="1">
                  <c:v>D696</c:v>
                </c:pt>
                <c:pt idx="2">
                  <c:v>K766</c:v>
                </c:pt>
                <c:pt idx="3">
                  <c:v>0380</c:v>
                </c:pt>
                <c:pt idx="4">
                  <c:v>Z7902</c:v>
                </c:pt>
                <c:pt idx="5">
                  <c:v>5849</c:v>
                </c:pt>
                <c:pt idx="6">
                  <c:v>I4892</c:v>
                </c:pt>
                <c:pt idx="7">
                  <c:v>N179</c:v>
                </c:pt>
                <c:pt idx="8">
                  <c:v>486</c:v>
                </c:pt>
                <c:pt idx="9">
                  <c:v>41400</c:v>
                </c:pt>
                <c:pt idx="10">
                  <c:v>V707</c:v>
                </c:pt>
                <c:pt idx="11">
                  <c:v>E119</c:v>
                </c:pt>
                <c:pt idx="12">
                  <c:v>Z794</c:v>
                </c:pt>
                <c:pt idx="13">
                  <c:v>E8497</c:v>
                </c:pt>
                <c:pt idx="14">
                  <c:v>I4891</c:v>
                </c:pt>
              </c:strCache>
            </c:strRef>
          </c:cat>
          <c:val>
            <c:numRef>
              <c:f>top_diseases!$B$4:$B$19</c:f>
              <c:numCache>
                <c:formatCode>General</c:formatCode>
                <c:ptCount val="15"/>
                <c:pt idx="0">
                  <c:v>5</c:v>
                </c:pt>
                <c:pt idx="1">
                  <c:v>3</c:v>
                </c:pt>
                <c:pt idx="2">
                  <c:v>2</c:v>
                </c:pt>
                <c:pt idx="3">
                  <c:v>2</c:v>
                </c:pt>
                <c:pt idx="4">
                  <c:v>2</c:v>
                </c:pt>
                <c:pt idx="5">
                  <c:v>2</c:v>
                </c:pt>
                <c:pt idx="6">
                  <c:v>2</c:v>
                </c:pt>
                <c:pt idx="7">
                  <c:v>2</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00-D915-8047-B269-C2474E5C351C}"/>
            </c:ext>
          </c:extLst>
        </c:ser>
        <c:dLbls>
          <c:showLegendKey val="0"/>
          <c:showVal val="0"/>
          <c:showCatName val="0"/>
          <c:showSerName val="0"/>
          <c:showPercent val="0"/>
          <c:showBubbleSize val="0"/>
        </c:dLbls>
        <c:gapWidth val="219"/>
        <c:overlap val="-27"/>
        <c:axId val="2117806736"/>
        <c:axId val="250929904"/>
      </c:barChart>
      <c:catAx>
        <c:axId val="21178067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29904"/>
        <c:crosses val="autoZero"/>
        <c:auto val="1"/>
        <c:lblAlgn val="ctr"/>
        <c:lblOffset val="100"/>
        <c:noMultiLvlLbl val="0"/>
      </c:catAx>
      <c:valAx>
        <c:axId val="2509299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0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[dashboard.xlsx]Mortality_Analysis!PivotTable1</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Mortality Rate by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Mortality_Analysis!$B$3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Mortality_Analysis!$A$4:$A$6</c:f>
              <c:strCache>
                <c:ptCount val="2"/>
                <c:pt idx="0">
                  <c:v>70+</c:v>
                </c:pt>
                <c:pt idx="1">
                  <c:v>50-70</c:v>
                </c:pt>
              </c:strCache>
            </c:strRef>
          </c:cat>
          <c:val>
            <c:numRef>
              <c:f>Mortality_Analysis!$B$4:$B$6</c:f>
              <c:numCache>
                <c:formatCode>0.00%</c:formatCode>
                <c:ptCount val="2"/>
                <c:pt idx="0">
                  <c:v>0.13043478260869565</c:v>
                </c:pt>
                <c:pt idx="1">
                  <c:v>9.1836734693877556E-2</c:v>
                </c:pt>
              </c:numCache>
            </c:numRef>
          </c:val>
          <c:extLst>
            <c:ext xmlns:c16="http://schemas.microsoft.com/office/drawing/2014/chart" uri="{C3380CC4-5D6E-409C-BE32-E72D297353CC}">
              <c16:uniqueId val="{00000002-B719-BC48-9876-0C6D3956D31D}"/>
            </c:ext>
          </c:extLst>
        </c:ser>
        <c:dLbls>
          <c:showLegendKey val="0"/>
          <c:showVal val="0"/>
          <c:showCatName val="0"/>
          <c:showSerName val="0"/>
          <c:showPercent val="0"/>
          <c:showBubbleSize val="0"/>
        </c:dLbls>
        <c:gapWidth val="355"/>
        <c:overlap val="-70"/>
        <c:axId val="251644176"/>
        <c:axId val="2117965664"/>
      </c:barChart>
      <c:catAx>
        <c:axId val="251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65664"/>
        <c:crosses val="autoZero"/>
        <c:auto val="1"/>
        <c:lblAlgn val="ctr"/>
        <c:lblOffset val="100"/>
        <c:noMultiLvlLbl val="0"/>
      </c:catAx>
      <c:valAx>
        <c:axId val="21179656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6441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[dashboard.xlsx]top_diseases!PivotTable2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Most Common Diseases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top_diseases!$B$3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top_diseases!$A$4:$A$19</c:f>
              <c:strCache>
                <c:ptCount val="15"/>
                <c:pt idx="0">
                  <c:v>V1582</c:v>
                </c:pt>
                <c:pt idx="1">
                  <c:v>D696</c:v>
                </c:pt>
                <c:pt idx="2">
                  <c:v>K766</c:v>
                </c:pt>
                <c:pt idx="3">
                  <c:v>0380</c:v>
                </c:pt>
                <c:pt idx="4">
                  <c:v>Z7902</c:v>
                </c:pt>
                <c:pt idx="5">
                  <c:v>5849</c:v>
                </c:pt>
                <c:pt idx="6">
                  <c:v>I4892</c:v>
                </c:pt>
                <c:pt idx="7">
                  <c:v>N179</c:v>
                </c:pt>
                <c:pt idx="8">
                  <c:v>486</c:v>
                </c:pt>
                <c:pt idx="9">
                  <c:v>41400</c:v>
                </c:pt>
                <c:pt idx="10">
                  <c:v>V707</c:v>
                </c:pt>
                <c:pt idx="11">
                  <c:v>E119</c:v>
                </c:pt>
                <c:pt idx="12">
                  <c:v>Z794</c:v>
                </c:pt>
                <c:pt idx="13">
                  <c:v>E8497</c:v>
                </c:pt>
                <c:pt idx="14">
                  <c:v>I4891</c:v>
                </c:pt>
              </c:strCache>
            </c:strRef>
          </c:cat>
          <c:val>
            <c:numRef>
              <c:f>top_diseases!$B$4:$B$19</c:f>
              <c:numCache>
                <c:formatCode>General</c:formatCode>
                <c:ptCount val="15"/>
                <c:pt idx="0">
                  <c:v>5</c:v>
                </c:pt>
                <c:pt idx="1">
                  <c:v>3</c:v>
                </c:pt>
                <c:pt idx="2">
                  <c:v>2</c:v>
                </c:pt>
                <c:pt idx="3">
                  <c:v>2</c:v>
                </c:pt>
                <c:pt idx="4">
                  <c:v>2</c:v>
                </c:pt>
                <c:pt idx="5">
                  <c:v>2</c:v>
                </c:pt>
                <c:pt idx="6">
                  <c:v>2</c:v>
                </c:pt>
                <c:pt idx="7">
                  <c:v>2</c:v>
                </c:pt>
                <c:pt idx="8">
                  <c:v>2</c:v>
                </c:pt>
                <c:pt idx="9">
                  <c:v>2</c:v>
                </c:pt>
                <c:pt idx="10">
                  <c:v>2</c:v>
                </c:pt>
                <c:pt idx="11">
                  <c:v>2</c:v>
                </c:pt>
                <c:pt idx="12">
                  <c:v>2</c:v>
                </c:pt>
                <c:pt idx="13">
                  <c:v>2</c:v>
                </c:pt>
                <c:pt idx="14">
                  <c:v>2</c:v>
                </c:pt>
              </c:numCache>
            </c:numRef>
          </c:val>
          <c:extLst>
            <c:ext xmlns:c16="http://schemas.microsoft.com/office/drawing/2014/chart" uri="{C3380CC4-5D6E-409C-BE32-E72D297353CC}">
              <c16:uniqueId val="{00000000-1259-7340-890E-54B5CB64C803}"/>
            </c:ext>
          </c:extLst>
        </c:ser>
        <c:dLbls>
          <c:dLblPos val="inEnd"/>
          <c:showLegendKey val="0"/>
          <c:showVal val="1"/>
          <c:showCatName val="0"/>
          <c:showSerName val="0"/>
          <c:showPercent val="0"/>
          <c:showBubbleSize val="0"/>
        </c:dLbls>
        <c:gapWidth val="355"/>
        <c:overlap val="-70"/>
        <c:axId val="2117806736"/>
        <c:axId val="250929904"/>
      </c:barChart>
      <c:catAx>
        <c:axId val="21178067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29904"/>
        <c:crosses val="autoZero"/>
        <c:auto val="1"/>
        <c:lblAlgn val="ctr"/>
        <c:lblOffset val="100"/>
        <c:noMultiLvlLbl val="0"/>
      </c:catAx>
      <c:valAx>
        <c:axId val="250929904"/>
        <c:scaling>
          <c:orientation val="minMax"/>
        </c:scaling>
        <c:delete val="0"/>
        <c:axPos val="r"/>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0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12700</xdr:rowOff>
    </xdr:from>
    <xdr:to>
      <xdr:col>3</xdr:col>
      <xdr:colOff>685800</xdr:colOff>
      <xdr:row>23</xdr:row>
      <xdr:rowOff>114300</xdr:rowOff>
    </xdr:to>
    <xdr:graphicFrame macro="">
      <xdr:nvGraphicFramePr>
        <xdr:cNvPr id="2" name="Chart 1">
          <a:extLst>
            <a:ext uri="{FF2B5EF4-FFF2-40B4-BE49-F238E27FC236}">
              <a16:creationId xmlns:a16="http://schemas.microsoft.com/office/drawing/2014/main" id="{FE988EC5-271F-6E1A-64D9-1C652C9A3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26</xdr:row>
      <xdr:rowOff>38100</xdr:rowOff>
    </xdr:from>
    <xdr:to>
      <xdr:col>2</xdr:col>
      <xdr:colOff>215900</xdr:colOff>
      <xdr:row>30</xdr:row>
      <xdr:rowOff>117472</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84AC1D71-80D1-2603-A142-9B7BE7000DF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447800" y="5321300"/>
              <a:ext cx="1828800" cy="892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88900</xdr:colOff>
      <xdr:row>2</xdr:row>
      <xdr:rowOff>0</xdr:rowOff>
    </xdr:from>
    <xdr:to>
      <xdr:col>7</xdr:col>
      <xdr:colOff>533400</xdr:colOff>
      <xdr:row>15</xdr:row>
      <xdr:rowOff>101600</xdr:rowOff>
    </xdr:to>
    <xdr:graphicFrame macro="">
      <xdr:nvGraphicFramePr>
        <xdr:cNvPr id="2" name="Chart 1">
          <a:extLst>
            <a:ext uri="{FF2B5EF4-FFF2-40B4-BE49-F238E27FC236}">
              <a16:creationId xmlns:a16="http://schemas.microsoft.com/office/drawing/2014/main" id="{770B0470-D83B-7FB5-F7CD-63191B11E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15</xdr:row>
      <xdr:rowOff>127000</xdr:rowOff>
    </xdr:from>
    <xdr:to>
      <xdr:col>1</xdr:col>
      <xdr:colOff>952500</xdr:colOff>
      <xdr:row>20</xdr:row>
      <xdr:rowOff>101600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BA4B98D9-9737-E8A8-2557-6300A9EF59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300" y="3175000"/>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8</xdr:row>
      <xdr:rowOff>76200</xdr:rowOff>
    </xdr:from>
    <xdr:to>
      <xdr:col>2</xdr:col>
      <xdr:colOff>292100</xdr:colOff>
      <xdr:row>19</xdr:row>
      <xdr:rowOff>165100</xdr:rowOff>
    </xdr:to>
    <xdr:graphicFrame macro="">
      <xdr:nvGraphicFramePr>
        <xdr:cNvPr id="3" name="Chart 2">
          <a:extLst>
            <a:ext uri="{FF2B5EF4-FFF2-40B4-BE49-F238E27FC236}">
              <a16:creationId xmlns:a16="http://schemas.microsoft.com/office/drawing/2014/main" id="{B963AC64-897B-C845-9BC6-247DE41CA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330200</xdr:colOff>
      <xdr:row>8</xdr:row>
      <xdr:rowOff>76200</xdr:rowOff>
    </xdr:from>
    <xdr:to>
      <xdr:col>7</xdr:col>
      <xdr:colOff>812800</xdr:colOff>
      <xdr:row>19</xdr:row>
      <xdr:rowOff>165100</xdr:rowOff>
    </xdr:to>
    <xdr:graphicFrame macro="">
      <xdr:nvGraphicFramePr>
        <xdr:cNvPr id="4" name="Chart 3">
          <a:extLst>
            <a:ext uri="{FF2B5EF4-FFF2-40B4-BE49-F238E27FC236}">
              <a16:creationId xmlns:a16="http://schemas.microsoft.com/office/drawing/2014/main" id="{AEE440EA-79EB-4941-AB90-30F9F8A20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25400</xdr:colOff>
      <xdr:row>4</xdr:row>
      <xdr:rowOff>12700</xdr:rowOff>
    </xdr:from>
    <xdr:to>
      <xdr:col>7</xdr:col>
      <xdr:colOff>812800</xdr:colOff>
      <xdr:row>8</xdr:row>
      <xdr:rowOff>38100</xdr:rowOff>
    </xdr:to>
    <mc:AlternateContent xmlns:mc="http://schemas.openxmlformats.org/markup-compatibility/2006">
      <mc:Choice xmlns:a14="http://schemas.microsoft.com/office/drawing/2010/main" Requires="a14">
        <xdr:graphicFrame macro="">
          <xdr:nvGraphicFramePr>
            <xdr:cNvPr id="5" name="filter by gender">
              <a:extLst>
                <a:ext uri="{FF2B5EF4-FFF2-40B4-BE49-F238E27FC236}">
                  <a16:creationId xmlns:a16="http://schemas.microsoft.com/office/drawing/2014/main" id="{71064500-6DEF-784B-B15F-51BA7CF2AC79}"/>
                </a:ext>
              </a:extLst>
            </xdr:cNvPr>
            <xdr:cNvGraphicFramePr/>
          </xdr:nvGraphicFramePr>
          <xdr:xfrm>
            <a:off x="0" y="0"/>
            <a:ext cx="0" cy="0"/>
          </xdr:xfrm>
          <a:graphic>
            <a:graphicData uri="http://schemas.microsoft.com/office/drawing/2010/slicer">
              <sle:slicer xmlns:sle="http://schemas.microsoft.com/office/drawing/2010/slicer" name="filter by gender"/>
            </a:graphicData>
          </a:graphic>
        </xdr:graphicFrame>
      </mc:Choice>
      <mc:Fallback>
        <xdr:sp macro="" textlink="">
          <xdr:nvSpPr>
            <xdr:cNvPr id="0" name=""/>
            <xdr:cNvSpPr>
              <a:spLocks noTextEdit="1"/>
            </xdr:cNvSpPr>
          </xdr:nvSpPr>
          <xdr:spPr>
            <a:xfrm>
              <a:off x="4978400" y="825500"/>
              <a:ext cx="16129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Ponnaganti" refreshedDate="46117.734663194446" createdVersion="8" refreshedVersion="8" minRefreshableVersion="3" recordCount="275" xr:uid="{AEE4779D-EA5E-E54B-BEEB-4E13C72CB0CB}">
  <cacheSource type="worksheet">
    <worksheetSource name="admissions"/>
  </cacheSource>
  <cacheFields count="20">
    <cacheField name="subject_id" numFmtId="0">
      <sharedItems containsSemiMixedTypes="0" containsString="0" containsNumber="1" containsInteger="1" minValue="10000032" maxValue="10040025"/>
    </cacheField>
    <cacheField name="hadm_id" numFmtId="0">
      <sharedItems containsSemiMixedTypes="0" containsString="0" containsNumber="1" containsInteger="1" minValue="20044587" maxValue="29974575"/>
    </cacheField>
    <cacheField name="admittime" numFmtId="22">
      <sharedItems containsSemiMixedTypes="0" containsNonDate="0" containsDate="1" containsString="0" minDate="2110-04-11T15:08:00" maxDate="2201-12-11T12:00:00"/>
    </cacheField>
    <cacheField name="dischtime" numFmtId="22">
      <sharedItems containsSemiMixedTypes="0" containsNonDate="0" containsDate="1" containsString="0" minDate="2110-04-14T15:00:00" maxDate="2201-12-17T13:45:00"/>
    </cacheField>
    <cacheField name="deathtime" numFmtId="22">
      <sharedItems containsNonDate="0" containsDate="1" containsString="0" containsBlank="1" minDate="2111-11-15T17:20:00" maxDate="2201-07-13T23:27:00"/>
    </cacheField>
    <cacheField name="admission_type" numFmtId="0">
      <sharedItems/>
    </cacheField>
    <cacheField name="admit_provider_id" numFmtId="0">
      <sharedItems/>
    </cacheField>
    <cacheField name="admission_location" numFmtId="0">
      <sharedItems/>
    </cacheField>
    <cacheField name="discharge_location" numFmtId="0">
      <sharedItems/>
    </cacheField>
    <cacheField name="insurance" numFmtId="0">
      <sharedItems/>
    </cacheField>
    <cacheField name="language" numFmtId="0">
      <sharedItems/>
    </cacheField>
    <cacheField name="marital_status" numFmtId="0">
      <sharedItems/>
    </cacheField>
    <cacheField name="race" numFmtId="0">
      <sharedItems/>
    </cacheField>
    <cacheField name="edregtime" numFmtId="22">
      <sharedItems containsNonDate="0" containsDate="1" containsString="0" containsBlank="1" minDate="2110-11-30T04:45:00" maxDate="2201-10-30T10:48:00"/>
    </cacheField>
    <cacheField name="edouttime" numFmtId="22">
      <sharedItems containsNonDate="0" containsDate="1" containsString="0" containsBlank="1" minDate="2110-11-30T08:03:00" maxDate="2201-10-30T12:25:00"/>
    </cacheField>
    <cacheField name="hospital_expire_flag" numFmtId="0">
      <sharedItems containsSemiMixedTypes="0" containsString="0" containsNumber="1" containsInteger="1" minValue="0" maxValue="1"/>
    </cacheField>
    <cacheField name="gender" numFmtId="0">
      <sharedItems count="2">
        <s v="M"/>
        <s v="F"/>
      </sharedItems>
    </cacheField>
    <cacheField name="age" numFmtId="0">
      <sharedItems containsSemiMixedTypes="0" containsString="0" containsNumber="1" containsInteger="1" minValue="21" maxValue="91"/>
    </cacheField>
    <cacheField name="age_group" numFmtId="0">
      <sharedItems count="4">
        <s v="30-50"/>
        <s v="50-70"/>
        <s v="70+"/>
        <s v="Under 30"/>
      </sharedItems>
    </cacheField>
    <cacheField name="icd_code" numFmtId="0">
      <sharedItems count="225">
        <s v="42731"/>
        <s v="36201"/>
        <s v="V1582"/>
        <s v="45620"/>
        <s v="E860"/>
        <s v="V707"/>
        <s v="F17200"/>
        <s v="R310"/>
        <s v="5187"/>
        <s v="2851"/>
        <s v="41400"/>
        <s v="D696"/>
        <s v="E1142"/>
        <s v="2859"/>
        <s v="41401"/>
        <s v="E119"/>
        <s v="I4892"/>
        <s v="F17210"/>
        <s v="496"/>
        <s v="I4891"/>
        <s v="6822"/>
        <s v="4240"/>
        <s v="2724"/>
        <s v="C3402"/>
        <s v="G8929"/>
        <s v="E669"/>
        <s v="99859"/>
        <s v="V5866"/>
        <s v="4239"/>
        <s v="V667"/>
        <s v="4139"/>
        <s v="V6284"/>
        <s v="B20"/>
        <s v="5184"/>
        <s v="1179"/>
        <s v="5849"/>
        <s v="I10"/>
        <s v="2749"/>
        <s v="99811"/>
        <s v="2752"/>
        <s v="V641"/>
        <s v="570"/>
        <s v="V173"/>
        <s v="78791"/>
        <s v="7905"/>
        <s v="N179"/>
        <s v="V103"/>
        <s v="I509"/>
        <s v="99832"/>
        <s v="486"/>
        <s v="2930"/>
        <s v="Z23"/>
        <s v="5855"/>
        <s v="34831"/>
        <s v="2760"/>
        <s v="5845"/>
        <s v="V4986"/>
        <s v="I82412"/>
        <s v="4589"/>
        <s v="5856"/>
        <s v="78900"/>
        <s v="49390"/>
        <s v="V168"/>
        <s v="V5867"/>
        <s v="E039"/>
        <s v="3575"/>
        <s v="5990"/>
        <s v="1987"/>
        <s v="3485"/>
        <s v="311"/>
        <s v="Z9911"/>
        <s v="Z87891"/>
        <s v="R339"/>
        <s v="30503"/>
        <s v="V113"/>
        <s v="86389"/>
        <s v="56981"/>
        <s v="04109"/>
        <s v="04185"/>
        <s v="D329"/>
        <s v="3572"/>
        <s v="0380"/>
        <s v="D62"/>
        <s v="53240"/>
        <s v="1369"/>
        <s v="5680"/>
        <s v="80704"/>
        <s v="25000"/>
        <s v="I480"/>
        <s v="C9110"/>
        <s v="Z8547"/>
        <s v="34830"/>
        <s v="E8497"/>
        <s v="7245"/>
        <s v="2449"/>
        <s v="D649"/>
        <s v="2761"/>
        <s v="3051"/>
        <s v="29680"/>
        <s v="E8499"/>
        <s v="30000"/>
        <s v="5853"/>
        <s v="25080"/>
        <s v="78052"/>
        <s v="04149"/>
        <s v="53081"/>
        <s v="51881"/>
        <s v="4280"/>
        <s v="J398"/>
        <s v="K259"/>
        <s v="D61818"/>
        <s v="Z923"/>
        <s v="J9601"/>
        <s v="99674"/>
        <s v="29181"/>
        <s v="E8782"/>
        <s v="71536"/>
        <s v="40390"/>
        <s v="V5861"/>
        <s v="V4501"/>
        <s v="43310"/>
        <s v="F09"/>
        <s v="R791"/>
        <s v="4829"/>
        <s v="D721"/>
        <s v="V153"/>
        <s v="E876"/>
        <s v="Y848"/>
        <s v="80707"/>
        <s v="F10239"/>
        <s v="30500"/>
        <s v="33819"/>
        <s v="00845"/>
        <s v="J95851"/>
        <s v="4558"/>
        <s v="E9478"/>
        <s v="4019"/>
        <s v="R627"/>
        <s v="29900"/>
        <s v="340"/>
        <s v="56722"/>
        <s v="70715"/>
        <s v="79021"/>
        <s v="Z7901"/>
        <s v="99933"/>
        <s v="C9202"/>
        <s v="F419"/>
        <s v="T43505S"/>
        <s v="G40909"/>
        <s v="78609"/>
        <s v="V1581"/>
        <s v="E1122"/>
        <s v="29574"/>
        <s v="29660"/>
        <s v="Z950"/>
        <s v="Z7902"/>
        <s v="C6292"/>
        <s v="Z794"/>
        <s v="S2232XA"/>
        <s v="9243"/>
        <s v="R319"/>
        <s v="V620"/>
        <s v="E162"/>
        <s v="F39"/>
        <s v="M542"/>
        <s v="V08"/>
        <s v="S79912A"/>
        <s v="G4700"/>
        <s v="C7B8"/>
        <s v="Z951"/>
        <s v="E780"/>
        <s v="Z7682"/>
        <s v="E872"/>
        <s v="Z6820"/>
        <s v="K766"/>
        <s v="T827XXA"/>
        <s v="I129"/>
        <s v="K219"/>
        <s v="H409"/>
        <s v="Z6837"/>
        <s v="Z955"/>
        <s v="Z8673"/>
        <s v="I309"/>
        <s v="I9751"/>
        <s v="I8510"/>
        <s v="Z992"/>
        <s v="R6521"/>
        <s v="R600"/>
        <s v="E1165"/>
        <s v="T361X5A"/>
        <s v="J9811"/>
        <s v="I5023"/>
        <s v="D735"/>
        <s v="I6340"/>
        <s v="E806"/>
        <s v="R34"/>
        <s v="N170"/>
        <s v="J189"/>
        <s v="I252"/>
        <s v="I701"/>
        <s v="I959"/>
        <s v="Z434"/>
        <s v="E041"/>
        <s v="Z981"/>
        <s v="M8008XA"/>
        <s v="5770"/>
        <s v="J449"/>
        <s v="I272"/>
        <s v="J45909"/>
        <s v="V851"/>
        <s v="1759"/>
        <s v="4149"/>
        <s v="5859"/>
        <s v="V8741"/>
        <s v="V4581"/>
        <s v="5641"/>
        <s v="E8495"/>
        <s v="57512"/>
        <s v="44489"/>
        <s v="I97131"/>
        <s v="5180"/>
        <s v="51889"/>
        <s v="Z96651"/>
        <s v="1505"/>
        <s v="Z8546"/>
      </sharedItems>
    </cacheField>
  </cacheFields>
  <extLst>
    <ext xmlns:x14="http://schemas.microsoft.com/office/spreadsheetml/2009/9/main" uri="{725AE2AE-9491-48be-B2B4-4EB974FC3084}">
      <x14:pivotCacheDefinition pivotCacheId="172061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
  <r>
    <n v="10004235"/>
    <n v="24181354"/>
    <d v="2196-02-24T14:38:00"/>
    <d v="2196-03-04T14:02:00"/>
    <m/>
    <s v="URGENT"/>
    <s v="P03YMR"/>
    <s v="TRANSFER FROM HOSPITAL"/>
    <s v="SKILLED NURSING FACILITY"/>
    <s v="Medicaid"/>
    <s v="ENGLISH"/>
    <s v="SINGLE"/>
    <s v="BLACK/CAPE VERDEAN"/>
    <d v="2196-02-24T12:15:00"/>
    <d v="2196-02-24T17:07:00"/>
    <n v="0"/>
    <x v="0"/>
    <n v="47"/>
    <x v="0"/>
    <x v="0"/>
  </r>
  <r>
    <n v="10009628"/>
    <n v="25926192"/>
    <d v="2153-09-17T17:08:00"/>
    <d v="2153-09-25T13:20:00"/>
    <m/>
    <s v="URGENT"/>
    <s v="P41R5N"/>
    <s v="TRANSFER FROM HOSPITAL"/>
    <s v="HOME HEALTH CARE"/>
    <s v="Medicaid"/>
    <s v="?"/>
    <s v="MARRIED"/>
    <s v="HISPANIC/LATINO - PUERTO RICAN"/>
    <m/>
    <m/>
    <n v="0"/>
    <x v="0"/>
    <n v="58"/>
    <x v="1"/>
    <x v="1"/>
  </r>
  <r>
    <n v="10018081"/>
    <n v="23983182"/>
    <d v="2134-08-18T02:02:00"/>
    <d v="2134-08-23T19:35:00"/>
    <m/>
    <s v="URGENT"/>
    <s v="P233F6"/>
    <s v="TRANSFER FROM HOSPITAL"/>
    <s v="SKILLED NURSING FACILITY"/>
    <s v="Medicare"/>
    <s v="ENGLISH"/>
    <s v="MARRIED"/>
    <s v="WHITE"/>
    <d v="2134-08-17T16:24:00"/>
    <d v="2134-08-18T03:15:00"/>
    <n v="0"/>
    <x v="0"/>
    <n v="79"/>
    <x v="2"/>
    <x v="2"/>
  </r>
  <r>
    <n v="10006053"/>
    <n v="22942076"/>
    <d v="2111-11-13T23:39:00"/>
    <d v="2111-11-15T17:20:00"/>
    <d v="2111-11-15T17:20:00"/>
    <s v="URGENT"/>
    <s v="P38TI6"/>
    <s v="TRANSFER FROM HOSPITAL"/>
    <s v="DIED"/>
    <s v="Medicaid"/>
    <s v="ENGLISH"/>
    <s v=""/>
    <s v="UNKNOWN"/>
    <m/>
    <m/>
    <n v="1"/>
    <x v="0"/>
    <n v="52"/>
    <x v="1"/>
    <x v="3"/>
  </r>
  <r>
    <n v="10031404"/>
    <n v="21606243"/>
    <d v="2113-08-04T18:46:00"/>
    <d v="2113-08-06T20:57:00"/>
    <m/>
    <s v="URGENT"/>
    <s v="P07HDB"/>
    <s v="TRANSFER FROM HOSPITAL"/>
    <s v="HOME"/>
    <s v="Other"/>
    <s v="ENGLISH"/>
    <s v="WIDOWED"/>
    <s v="WHITE"/>
    <m/>
    <m/>
    <n v="0"/>
    <x v="1"/>
    <n v="82"/>
    <x v="2"/>
    <x v="4"/>
  </r>
  <r>
    <n v="10005817"/>
    <n v="20626031"/>
    <d v="2132-12-12T01:43:00"/>
    <d v="2132-12-20T15:04:00"/>
    <m/>
    <s v="URGENT"/>
    <s v="P41R5N"/>
    <s v="TRANSFER FROM HOSPITAL"/>
    <s v="HOME HEALTH CARE"/>
    <s v="Medicare"/>
    <s v="ENGLISH"/>
    <s v="MARRIED"/>
    <s v="WHITE"/>
    <m/>
    <m/>
    <n v="0"/>
    <x v="0"/>
    <n v="66"/>
    <x v="1"/>
    <x v="5"/>
  </r>
  <r>
    <n v="10019385"/>
    <n v="20297618"/>
    <d v="2180-02-15T20:28:00"/>
    <d v="2180-02-25T13:45:00"/>
    <m/>
    <s v="URGENT"/>
    <s v="P536JC"/>
    <s v="TRANSFER FROM HOSPITAL"/>
    <s v="HOME HEALTH CARE"/>
    <s v="Other"/>
    <s v="ENGLISH"/>
    <s v="MARRIED"/>
    <s v="WHITE"/>
    <m/>
    <m/>
    <n v="0"/>
    <x v="0"/>
    <n v="44"/>
    <x v="0"/>
    <x v="6"/>
  </r>
  <r>
    <n v="10002495"/>
    <n v="24982426"/>
    <d v="2141-05-22T20:17:00"/>
    <d v="2141-05-29T17:41:00"/>
    <m/>
    <s v="URGENT"/>
    <s v="P79SJ2"/>
    <s v="TRANSFER FROM HOSPITAL"/>
    <s v="SKILLED NURSING FACILITY"/>
    <s v="Medicare"/>
    <s v="ENGLISH"/>
    <s v="MARRIED"/>
    <s v="UNKNOWN"/>
    <m/>
    <m/>
    <n v="0"/>
    <x v="0"/>
    <n v="81"/>
    <x v="2"/>
    <x v="7"/>
  </r>
  <r>
    <n v="10038081"/>
    <n v="20755971"/>
    <d v="2115-09-27T20:40:00"/>
    <d v="2115-10-12T00:00:00"/>
    <d v="2115-10-12T22:20:00"/>
    <s v="URGENT"/>
    <s v="P48GIG"/>
    <s v="TRANSFER FROM HOSPITAL"/>
    <s v="DIED"/>
    <s v="Other"/>
    <s v="?"/>
    <s v="SINGLE"/>
    <s v="UNKNOWN"/>
    <m/>
    <m/>
    <n v="1"/>
    <x v="1"/>
    <n v="63"/>
    <x v="1"/>
    <x v="8"/>
  </r>
  <r>
    <n v="10019917"/>
    <n v="22585261"/>
    <d v="2182-01-07T23:25:00"/>
    <d v="2182-01-10T16:52:00"/>
    <m/>
    <s v="URGENT"/>
    <s v="P3529J"/>
    <s v="TRANSFER FROM HOSPITAL"/>
    <s v="HOME"/>
    <s v="Other"/>
    <s v="ENGLISH"/>
    <s v="SINGLE"/>
    <s v="OTHER"/>
    <m/>
    <m/>
    <n v="0"/>
    <x v="0"/>
    <n v="44"/>
    <x v="0"/>
    <x v="9"/>
  </r>
  <r>
    <n v="10037861"/>
    <n v="24256866"/>
    <d v="2115-10-09T20:28:00"/>
    <d v="2115-10-18T16:50:00"/>
    <m/>
    <s v="URGENT"/>
    <s v="P64TGC"/>
    <s v="TRANSFER FROM HOSPITAL"/>
    <s v="HOME HEALTH CARE"/>
    <s v="Medicare"/>
    <s v="ENGLISH"/>
    <s v="MARRIED"/>
    <s v="UNKNOWN"/>
    <m/>
    <m/>
    <n v="0"/>
    <x v="0"/>
    <n v="77"/>
    <x v="2"/>
    <x v="10"/>
  </r>
  <r>
    <n v="10026354"/>
    <n v="24547356"/>
    <d v="2119-10-26T07:11:00"/>
    <d v="2119-11-06T12:30:00"/>
    <m/>
    <s v="URGENT"/>
    <s v="P77BSD"/>
    <s v="TRANSFER FROM HOSPITAL"/>
    <s v="SKILLED NURSING FACILITY"/>
    <s v="Other"/>
    <s v="?"/>
    <s v=""/>
    <s v="WHITE"/>
    <d v="2119-10-26T06:00:00"/>
    <d v="2119-10-26T06:37:00"/>
    <n v="0"/>
    <x v="0"/>
    <n v="34"/>
    <x v="0"/>
    <x v="11"/>
  </r>
  <r>
    <n v="10015860"/>
    <n v="26352758"/>
    <d v="2192-09-24T09:19:00"/>
    <d v="2192-09-28T19:52:00"/>
    <m/>
    <s v="URGENT"/>
    <s v="P54RLA"/>
    <s v="TRANSFER FROM SKILLED NURSING FACILITY"/>
    <s v="SKILLED NURSING FACILITY"/>
    <s v="Other"/>
    <s v="ENGLISH"/>
    <s v="SINGLE"/>
    <s v="WHITE"/>
    <d v="2192-09-23T22:43:00"/>
    <d v="2192-09-24T09:38:00"/>
    <n v="0"/>
    <x v="0"/>
    <n v="53"/>
    <x v="1"/>
    <x v="12"/>
  </r>
  <r>
    <n v="10020740"/>
    <n v="23831430"/>
    <d v="2150-03-11T15:34:00"/>
    <d v="2150-04-25T13:50:00"/>
    <m/>
    <s v="URGENT"/>
    <s v="P7554I"/>
    <s v="TRANSFER FROM HOSPITAL"/>
    <s v="SKILLED NURSING FACILITY"/>
    <s v="Other"/>
    <s v="ENGLISH"/>
    <s v="SINGLE"/>
    <s v="WHITE"/>
    <m/>
    <m/>
    <n v="0"/>
    <x v="0"/>
    <n v="56"/>
    <x v="1"/>
    <x v="13"/>
  </r>
  <r>
    <n v="10012552"/>
    <n v="27089790"/>
    <d v="2140-03-22T17:18:00"/>
    <d v="2140-03-30T14:10:00"/>
    <m/>
    <s v="URGENT"/>
    <s v="P47E1G"/>
    <s v="TRANSFER FROM HOSPITAL"/>
    <s v="HOME HEALTH CARE"/>
    <s v="Medicare"/>
    <s v="ENGLISH"/>
    <s v="MARRIED"/>
    <s v="UNKNOWN"/>
    <m/>
    <m/>
    <n v="0"/>
    <x v="0"/>
    <n v="78"/>
    <x v="2"/>
    <x v="14"/>
  </r>
  <r>
    <n v="10014354"/>
    <n v="28335091"/>
    <d v="2147-04-26T16:44:00"/>
    <d v="2147-04-29T15:30:00"/>
    <m/>
    <s v="URGENT"/>
    <s v="P79SJ2"/>
    <s v="TRANSFER FROM HOSPITAL"/>
    <s v="HOME HEALTH CARE"/>
    <s v="Other"/>
    <s v="ENGLISH"/>
    <s v="SINGLE"/>
    <s v="WHITE"/>
    <m/>
    <m/>
    <n v="0"/>
    <x v="0"/>
    <n v="60"/>
    <x v="1"/>
    <x v="15"/>
  </r>
  <r>
    <n v="10014354"/>
    <n v="27487226"/>
    <d v="2148-06-30T01:09:00"/>
    <d v="2148-07-13T19:35:00"/>
    <m/>
    <s v="URGENT"/>
    <s v="P44WVR"/>
    <s v="TRANSFER FROM HOSPITAL"/>
    <s v="HOME HEALTH CARE"/>
    <s v="Other"/>
    <s v="ENGLISH"/>
    <s v="SINGLE"/>
    <s v="WHITE"/>
    <d v="2148-06-29T21:06:00"/>
    <d v="2148-06-30T02:27:00"/>
    <n v="0"/>
    <x v="0"/>
    <n v="60"/>
    <x v="1"/>
    <x v="16"/>
  </r>
  <r>
    <n v="10039708"/>
    <n v="25864431"/>
    <d v="2142-03-26T06:08:00"/>
    <d v="2142-04-11T21:00:00"/>
    <m/>
    <s v="URGENT"/>
    <s v="P81KFM"/>
    <s v="TRANSFER FROM HOSPITAL"/>
    <s v="HOME HEALTH CARE"/>
    <s v="Other"/>
    <s v="ENGLISH"/>
    <s v="SINGLE"/>
    <s v="BLACK/AFRICAN AMERICAN"/>
    <d v="2142-03-25T22:22:00"/>
    <d v="2142-03-26T08:08:00"/>
    <n v="0"/>
    <x v="1"/>
    <n v="46"/>
    <x v="0"/>
    <x v="17"/>
  </r>
  <r>
    <n v="10000032"/>
    <n v="22595853"/>
    <d v="2180-05-06T22:23:00"/>
    <d v="2180-05-07T17:15:00"/>
    <m/>
    <s v="URGENT"/>
    <s v="P874LG"/>
    <s v="TRANSFER FROM HOSPITAL"/>
    <s v="HOME"/>
    <s v="Other"/>
    <s v="ENGLISH"/>
    <s v="WIDOWED"/>
    <s v="WHITE"/>
    <d v="2180-05-06T19:17:00"/>
    <d v="2180-05-06T23:30:00"/>
    <n v="0"/>
    <x v="1"/>
    <n v="52"/>
    <x v="1"/>
    <x v="18"/>
  </r>
  <r>
    <n v="10020786"/>
    <n v="23488445"/>
    <d v="2189-06-09T12:45:00"/>
    <d v="2189-06-13T17:20:00"/>
    <m/>
    <s v="URGENT"/>
    <s v="P031HZ"/>
    <s v="TRANSFER FROM HOSPITAL"/>
    <s v="HOME"/>
    <s v="Medicare"/>
    <s v="ENGLISH"/>
    <s v="WIDOWED"/>
    <s v="WHITE"/>
    <m/>
    <m/>
    <n v="0"/>
    <x v="1"/>
    <n v="86"/>
    <x v="2"/>
    <x v="19"/>
  </r>
  <r>
    <n v="10027445"/>
    <n v="27488741"/>
    <d v="2145-12-08T19:47:00"/>
    <d v="2145-12-19T14:36:00"/>
    <m/>
    <s v="URGENT"/>
    <s v="P38RSS"/>
    <s v="TRANSFER FROM HOSPITAL"/>
    <s v="HOME HEALTH CARE"/>
    <s v="Other"/>
    <s v="ENGLISH"/>
    <s v="WIDOWED"/>
    <s v="WHITE"/>
    <m/>
    <m/>
    <n v="0"/>
    <x v="1"/>
    <n v="48"/>
    <x v="0"/>
    <x v="20"/>
  </r>
  <r>
    <n v="10027445"/>
    <n v="29163082"/>
    <d v="2142-08-27T21:05:00"/>
    <d v="2142-09-05T17:33:00"/>
    <m/>
    <s v="URGENT"/>
    <s v="P509SB"/>
    <s v="TRANSFER FROM HOSPITAL"/>
    <s v="HOME HEALTH CARE"/>
    <s v="Other"/>
    <s v="ENGLISH"/>
    <s v="WIDOWED"/>
    <s v="WHITE"/>
    <m/>
    <m/>
    <n v="0"/>
    <x v="1"/>
    <n v="48"/>
    <x v="0"/>
    <x v="21"/>
  </r>
  <r>
    <n v="10015931"/>
    <n v="22130791"/>
    <d v="2177-03-24T21:47:00"/>
    <d v="2177-03-29T14:15:00"/>
    <d v="2177-03-29T14:15:00"/>
    <s v="URGENT"/>
    <s v="P031HZ"/>
    <s v="TRANSFER FROM HOSPITAL"/>
    <s v="DIED"/>
    <s v="Medicare"/>
    <s v="ENGLISH"/>
    <s v="MARRIED"/>
    <s v="WHITE"/>
    <m/>
    <m/>
    <n v="1"/>
    <x v="0"/>
    <n v="87"/>
    <x v="2"/>
    <x v="19"/>
  </r>
  <r>
    <n v="10036156"/>
    <n v="28019404"/>
    <d v="2157-07-01T04:52:00"/>
    <d v="2157-07-03T15:08:00"/>
    <m/>
    <s v="URGENT"/>
    <s v="P94V16"/>
    <s v="TRANSFER FROM HOSPITAL"/>
    <s v="HOME"/>
    <s v="Other"/>
    <s v="ENGLISH"/>
    <s v=""/>
    <s v="UNKNOWN"/>
    <m/>
    <m/>
    <n v="0"/>
    <x v="1"/>
    <n v="88"/>
    <x v="2"/>
    <x v="22"/>
  </r>
  <r>
    <n v="10021312"/>
    <n v="25020332"/>
    <d v="2113-08-16T00:32:00"/>
    <d v="2113-08-18T17:35:00"/>
    <m/>
    <s v="URGENT"/>
    <s v="P31A9M"/>
    <s v="TRANSFER FROM HOSPITAL"/>
    <s v="HOME"/>
    <s v="Other"/>
    <s v="ENGLISH"/>
    <s v=""/>
    <s v="UNKNOWN"/>
    <m/>
    <m/>
    <n v="0"/>
    <x v="1"/>
    <n v="55"/>
    <x v="1"/>
    <x v="23"/>
  </r>
  <r>
    <n v="10021312"/>
    <n v="28829452"/>
    <d v="2113-09-12T14:42:00"/>
    <d v="2113-09-20T18:40:00"/>
    <m/>
    <s v="URGENT"/>
    <s v="P72G4H"/>
    <s v="TRANSFER FROM HOSPITAL"/>
    <s v="ACUTE HOSPITAL"/>
    <s v="Other"/>
    <s v="ENGLISH"/>
    <s v=""/>
    <s v="UNKNOWN"/>
    <m/>
    <m/>
    <n v="0"/>
    <x v="1"/>
    <n v="55"/>
    <x v="1"/>
    <x v="24"/>
  </r>
  <r>
    <n v="10003400"/>
    <n v="23559586"/>
    <d v="2137-08-04T00:07:00"/>
    <d v="2137-09-02T17:05:00"/>
    <d v="2137-09-02T17:05:00"/>
    <s v="URGENT"/>
    <s v="P99U21"/>
    <s v="TRANSFER FROM HOSPITAL"/>
    <s v="DIED"/>
    <s v="Medicare"/>
    <s v="ENGLISH"/>
    <s v="MARRIED"/>
    <s v="BLACK/AFRICAN AMERICAN"/>
    <m/>
    <m/>
    <n v="1"/>
    <x v="1"/>
    <n v="72"/>
    <x v="2"/>
    <x v="25"/>
  </r>
  <r>
    <n v="10003400"/>
    <n v="20214994"/>
    <d v="2137-02-24T10:00:00"/>
    <d v="2137-03-19T15:45:00"/>
    <m/>
    <s v="URGENT"/>
    <s v="P60ZCO"/>
    <s v="TRANSFER FROM SKILLED NURSING FACILITY"/>
    <s v="CHRONIC/LONG TERM ACUTE CARE"/>
    <s v="Medicare"/>
    <s v="ENGLISH"/>
    <s v="MARRIED"/>
    <s v="BLACK/AFRICAN AMERICAN"/>
    <m/>
    <m/>
    <n v="0"/>
    <x v="1"/>
    <n v="72"/>
    <x v="2"/>
    <x v="26"/>
  </r>
  <r>
    <n v="10023117"/>
    <n v="24244087"/>
    <d v="2174-06-07T23:25:00"/>
    <d v="2174-06-12T15:55:00"/>
    <m/>
    <s v="URGENT"/>
    <s v="P878WT"/>
    <s v="TRANSFER FROM HOSPITAL"/>
    <s v="HOME"/>
    <s v="Medicare"/>
    <s v="ENGLISH"/>
    <s v="WIDOWED"/>
    <s v="WHITE"/>
    <d v="2174-06-07T16:24:00"/>
    <d v="2174-06-08T01:02:00"/>
    <n v="0"/>
    <x v="0"/>
    <n v="53"/>
    <x v="1"/>
    <x v="27"/>
  </r>
  <r>
    <n v="10038992"/>
    <n v="22797747"/>
    <d v="2185-11-02T18:26:00"/>
    <d v="2185-11-08T16:22:00"/>
    <m/>
    <s v="URGENT"/>
    <s v="P534S8"/>
    <s v="TRANSFER FROM HOSPITAL"/>
    <s v="HOME HEALTH CARE"/>
    <s v="Medicare"/>
    <s v="ENGLISH"/>
    <s v="MARRIED"/>
    <s v="UNKNOWN"/>
    <m/>
    <m/>
    <n v="0"/>
    <x v="0"/>
    <n v="70"/>
    <x v="1"/>
    <x v="28"/>
  </r>
  <r>
    <n v="10037975"/>
    <n v="27617929"/>
    <d v="2185-01-17T19:11:00"/>
    <d v="2185-01-22T14:25:00"/>
    <d v="2185-01-22T14:25:00"/>
    <s v="URGENT"/>
    <s v="P17MK7"/>
    <s v="TRANSFER FROM HOSPITAL"/>
    <s v="DIED"/>
    <s v="Medicare"/>
    <s v="ENGLISH"/>
    <s v="MARRIED"/>
    <s v="UNKNOWN"/>
    <m/>
    <m/>
    <n v="1"/>
    <x v="0"/>
    <n v="60"/>
    <x v="1"/>
    <x v="29"/>
  </r>
  <r>
    <n v="10035185"/>
    <n v="22580999"/>
    <d v="2120-05-12T12:53:00"/>
    <d v="2120-05-17T16:00:00"/>
    <m/>
    <s v="URGENT"/>
    <s v="P41R5N"/>
    <s v="TRANSFER FROM HOSPITAL"/>
    <s v="HOME HEALTH CARE"/>
    <s v="Other"/>
    <s v="ENGLISH"/>
    <s v="MARRIED"/>
    <s v="WHITE"/>
    <m/>
    <m/>
    <n v="0"/>
    <x v="0"/>
    <n v="70"/>
    <x v="1"/>
    <x v="30"/>
  </r>
  <r>
    <n v="10002930"/>
    <n v="28301173"/>
    <d v="2197-04-08T19:37:00"/>
    <d v="2197-04-15T12:01:00"/>
    <m/>
    <s v="URGENT"/>
    <s v="P3763P"/>
    <s v="INTERNAL TRANSFER TO OR FROM PSYCH"/>
    <s v="HOME"/>
    <s v="Medicare"/>
    <s v="ENGLISH"/>
    <s v="SINGLE"/>
    <s v="BLACK/AFRICAN AMERICAN"/>
    <m/>
    <m/>
    <n v="0"/>
    <x v="1"/>
    <n v="48"/>
    <x v="0"/>
    <x v="31"/>
  </r>
  <r>
    <n v="10002930"/>
    <n v="22733922"/>
    <d v="2198-04-22T16:17:00"/>
    <d v="2198-05-04T13:20:00"/>
    <m/>
    <s v="URGENT"/>
    <s v="P3763P"/>
    <s v="INTERNAL TRANSFER TO OR FROM PSYCH"/>
    <s v="HOME"/>
    <s v="Medicare"/>
    <s v="ENGLISH"/>
    <s v="SINGLE"/>
    <s v="BLACK/AFRICAN AMERICAN"/>
    <m/>
    <m/>
    <n v="0"/>
    <x v="1"/>
    <n v="48"/>
    <x v="0"/>
    <x v="32"/>
  </r>
  <r>
    <n v="10007795"/>
    <n v="28477357"/>
    <d v="2136-04-10T20:33:00"/>
    <d v="2136-05-02T16:35:00"/>
    <m/>
    <s v="URGENT"/>
    <s v="P172D4"/>
    <s v="TRANSFER FROM HOSPITAL"/>
    <s v="CHRONIC/LONG TERM ACUTE CARE"/>
    <s v="Medicare"/>
    <s v="ENGLISH"/>
    <s v="SINGLE"/>
    <s v="WHITE"/>
    <m/>
    <m/>
    <n v="0"/>
    <x v="1"/>
    <n v="53"/>
    <x v="1"/>
    <x v="33"/>
  </r>
  <r>
    <n v="10007795"/>
    <n v="25135483"/>
    <d v="2136-05-04T20:20:00"/>
    <d v="2136-05-12T17:12:00"/>
    <m/>
    <s v="URGENT"/>
    <s v="P99LA7"/>
    <s v="TRANSFER FROM HOSPITAL"/>
    <s v="REHAB"/>
    <s v="Medicare"/>
    <s v="ENGLISH"/>
    <s v="SINGLE"/>
    <s v="WHITE"/>
    <m/>
    <m/>
    <n v="0"/>
    <x v="1"/>
    <n v="53"/>
    <x v="1"/>
    <x v="34"/>
  </r>
  <r>
    <n v="10004733"/>
    <n v="27411876"/>
    <d v="2174-12-04T11:28:00"/>
    <d v="2174-12-27T14:00:00"/>
    <m/>
    <s v="URGENT"/>
    <s v="P48KFD"/>
    <s v="TRANSFER FROM HOSPITAL"/>
    <s v="HOME HEALTH CARE"/>
    <s v="Medicaid"/>
    <s v="ENGLISH"/>
    <s v="SINGLE"/>
    <s v="UNKNOWN"/>
    <m/>
    <m/>
    <n v="0"/>
    <x v="0"/>
    <n v="51"/>
    <x v="1"/>
    <x v="35"/>
  </r>
  <r>
    <n v="10021118"/>
    <n v="24490144"/>
    <d v="2161-11-15T20:10:00"/>
    <d v="2161-11-23T16:00:00"/>
    <m/>
    <s v="URGENT"/>
    <s v="P96FGV"/>
    <s v="TRANSFER FROM HOSPITAL"/>
    <s v="HOME HEALTH CARE"/>
    <s v="Other"/>
    <s v="ENGLISH"/>
    <s v="MARRIED"/>
    <s v="WHITE"/>
    <m/>
    <m/>
    <n v="0"/>
    <x v="0"/>
    <n v="62"/>
    <x v="1"/>
    <x v="36"/>
  </r>
  <r>
    <n v="10006580"/>
    <n v="24159665"/>
    <d v="2137-08-10T11:00:00"/>
    <d v="2137-08-15T13:25:00"/>
    <m/>
    <s v="ELECTIVE"/>
    <s v="P76K54"/>
    <s v="PHYSICIAN REFERRAL"/>
    <s v="HOME"/>
    <s v="Medicaid"/>
    <s v="?"/>
    <s v="MARRIED"/>
    <s v="HISPANIC/LATINO - SALVADORAN"/>
    <m/>
    <m/>
    <n v="0"/>
    <x v="1"/>
    <n v="63"/>
    <x v="1"/>
    <x v="37"/>
  </r>
  <r>
    <n v="10023771"/>
    <n v="20044587"/>
    <d v="2113-08-25T07:15:00"/>
    <d v="2113-08-30T14:15:00"/>
    <m/>
    <s v="ELECTIVE"/>
    <s v="P47E1G"/>
    <s v="PHYSICIAN REFERRAL"/>
    <s v="SKILLED NURSING FACILITY"/>
    <s v="Medicare"/>
    <s v="ENGLISH"/>
    <s v="MARRIED"/>
    <s v="WHITE"/>
    <m/>
    <m/>
    <n v="0"/>
    <x v="0"/>
    <n v="70"/>
    <x v="1"/>
    <x v="38"/>
  </r>
  <r>
    <n v="10005348"/>
    <n v="29496232"/>
    <d v="2128-09-05T08:30:00"/>
    <d v="2128-09-12T16:55:00"/>
    <m/>
    <s v="ELECTIVE"/>
    <s v="P786Y5"/>
    <s v="PHYSICIAN REFERRAL"/>
    <s v="HOME HEALTH CARE"/>
    <s v="Other"/>
    <s v="ENGLISH"/>
    <s v="MARRIED"/>
    <s v="WHITE"/>
    <m/>
    <m/>
    <n v="0"/>
    <x v="0"/>
    <n v="76"/>
    <x v="2"/>
    <x v="39"/>
  </r>
  <r>
    <n v="10019172"/>
    <n v="24997044"/>
    <d v="2118-11-15T14:00:00"/>
    <d v="2118-11-21T18:31:00"/>
    <m/>
    <s v="ELECTIVE"/>
    <s v="P41R5N"/>
    <s v="PHYSICIAN REFERRAL"/>
    <s v="HOME HEALTH CARE"/>
    <s v="Other"/>
    <s v="ENGLISH"/>
    <s v=""/>
    <s v="UNABLE TO OBTAIN"/>
    <m/>
    <m/>
    <n v="0"/>
    <x v="1"/>
    <n v="63"/>
    <x v="1"/>
    <x v="0"/>
  </r>
  <r>
    <n v="10019172"/>
    <n v="21540783"/>
    <d v="2118-10-08T14:00:00"/>
    <d v="2118-10-11T20:15:00"/>
    <m/>
    <s v="ELECTIVE"/>
    <s v="P41R5N"/>
    <s v="PHYSICIAN REFERRAL"/>
    <s v="HOME"/>
    <s v="Other"/>
    <s v="ENGLISH"/>
    <s v=""/>
    <s v="UNABLE TO OBTAIN"/>
    <m/>
    <m/>
    <n v="0"/>
    <x v="1"/>
    <n v="63"/>
    <x v="1"/>
    <x v="40"/>
  </r>
  <r>
    <n v="10021487"/>
    <n v="20429160"/>
    <d v="2117-07-16T07:15:00"/>
    <d v="2117-07-25T12:34:00"/>
    <m/>
    <s v="ELECTIVE"/>
    <s v="P96Y5O"/>
    <s v="PHYSICIAN REFERRAL"/>
    <s v="HOME"/>
    <s v="Other"/>
    <s v="ENGLISH"/>
    <s v="DIVORCED"/>
    <s v="WHITE"/>
    <m/>
    <m/>
    <n v="0"/>
    <x v="0"/>
    <n v="43"/>
    <x v="0"/>
    <x v="41"/>
  </r>
  <r>
    <n v="10013049"/>
    <n v="22675517"/>
    <d v="2114-06-20T10:15:00"/>
    <d v="2114-06-24T16:45:00"/>
    <m/>
    <s v="ELECTIVE"/>
    <s v="P41R5N"/>
    <s v="PHYSICIAN REFERRAL"/>
    <s v="HOME HEALTH CARE"/>
    <s v="Other"/>
    <s v="ENGLISH"/>
    <s v="MARRIED"/>
    <s v="WHITE"/>
    <m/>
    <m/>
    <n v="0"/>
    <x v="0"/>
    <n v="52"/>
    <x v="1"/>
    <x v="42"/>
  </r>
  <r>
    <n v="10035631"/>
    <n v="20385771"/>
    <d v="2112-12-04T00:00:00"/>
    <d v="2112-12-27T16:24:00"/>
    <m/>
    <s v="ELECTIVE"/>
    <s v="P45GUA"/>
    <s v="PHYSICIAN REFERRAL"/>
    <s v="HOME HEALTH CARE"/>
    <s v="Other"/>
    <s v="ENGLISH"/>
    <s v="MARRIED"/>
    <s v="WHITE"/>
    <m/>
    <m/>
    <n v="0"/>
    <x v="0"/>
    <n v="63"/>
    <x v="1"/>
    <x v="43"/>
  </r>
  <r>
    <n v="10035631"/>
    <n v="24912093"/>
    <d v="2112-10-22T00:00:00"/>
    <d v="2112-10-28T12:16:00"/>
    <m/>
    <s v="ELECTIVE"/>
    <s v="P45GUA"/>
    <s v="PHYSICIAN REFERRAL"/>
    <s v="HOME HEALTH CARE"/>
    <s v="Other"/>
    <s v="ENGLISH"/>
    <s v="MARRIED"/>
    <s v="UNKNOWN"/>
    <m/>
    <m/>
    <n v="0"/>
    <x v="0"/>
    <n v="63"/>
    <x v="1"/>
    <x v="44"/>
  </r>
  <r>
    <n v="10019003"/>
    <n v="26226543"/>
    <d v="2155-10-17T18:01:00"/>
    <d v="2155-11-03T18:00:00"/>
    <m/>
    <s v="ELECTIVE"/>
    <s v="P7280F"/>
    <s v="PHYSICIAN REFERRAL"/>
    <s v="HOME HEALTH CARE"/>
    <s v="Other"/>
    <s v="ENGLISH"/>
    <s v="WIDOWED"/>
    <s v="WHITE"/>
    <m/>
    <m/>
    <n v="0"/>
    <x v="1"/>
    <n v="65"/>
    <x v="1"/>
    <x v="45"/>
  </r>
  <r>
    <n v="10019003"/>
    <n v="28003918"/>
    <d v="2148-12-21T07:15:00"/>
    <d v="2148-12-24T17:10:00"/>
    <m/>
    <s v="ELECTIVE"/>
    <s v="P80J89"/>
    <s v="PHYSICIAN REFERRAL"/>
    <s v="HOME"/>
    <s v="Medicare"/>
    <s v="ENGLISH"/>
    <s v="WIDOWED"/>
    <s v="WHITE"/>
    <m/>
    <m/>
    <n v="0"/>
    <x v="1"/>
    <n v="65"/>
    <x v="1"/>
    <x v="46"/>
  </r>
  <r>
    <n v="10009035"/>
    <n v="28324362"/>
    <d v="2161-04-27T07:15:00"/>
    <d v="2161-05-01T13:45:00"/>
    <m/>
    <s v="ELECTIVE"/>
    <s v="P41R5N"/>
    <s v="PHYSICIAN REFERRAL"/>
    <s v="HOME HEALTH CARE"/>
    <s v="Other"/>
    <s v="ENGLISH"/>
    <s v="SINGLE"/>
    <s v="WHITE"/>
    <m/>
    <m/>
    <n v="0"/>
    <x v="0"/>
    <n v="28"/>
    <x v="3"/>
    <x v="21"/>
  </r>
  <r>
    <n v="10040025"/>
    <n v="25933959"/>
    <d v="2147-12-29T19:36:00"/>
    <d v="2148-01-09T17:38:00"/>
    <m/>
    <s v="ELECTIVE"/>
    <s v="P43BTJ"/>
    <s v="PHYSICIAN REFERRAL"/>
    <s v="SKILLED NURSING FACILITY"/>
    <s v="Other"/>
    <s v="ENGLISH"/>
    <s v="DIVORCED"/>
    <s v="WHITE"/>
    <m/>
    <m/>
    <n v="0"/>
    <x v="1"/>
    <n v="64"/>
    <x v="1"/>
    <x v="47"/>
  </r>
  <r>
    <n v="10014729"/>
    <n v="23300884"/>
    <d v="2125-03-19T16:58:00"/>
    <d v="2125-03-28T13:37:00"/>
    <m/>
    <s v="EW EMER."/>
    <s v="P76K54"/>
    <s v="EMERGENCY ROOM"/>
    <s v="HOME HEALTH CARE"/>
    <s v="Other"/>
    <s v="ENGLISH"/>
    <s v="SINGLE"/>
    <s v="WHITE - OTHER EUROPEAN"/>
    <d v="2125-03-19T12:36:00"/>
    <d v="2125-03-19T18:45:00"/>
    <n v="0"/>
    <x v="1"/>
    <n v="21"/>
    <x v="3"/>
    <x v="48"/>
  </r>
  <r>
    <n v="10026255"/>
    <n v="20437651"/>
    <d v="2200-09-17T22:53:00"/>
    <d v="2200-09-29T18:25:00"/>
    <m/>
    <s v="EW EMER."/>
    <s v="P233F6"/>
    <s v="EMERGENCY ROOM"/>
    <s v="HOME"/>
    <s v="Other"/>
    <s v="ENGLISH"/>
    <s v="MARRIED"/>
    <s v="WHITE"/>
    <d v="2200-09-17T18:38:00"/>
    <d v="2200-09-18T00:57:00"/>
    <n v="0"/>
    <x v="0"/>
    <n v="66"/>
    <x v="1"/>
    <x v="49"/>
  </r>
  <r>
    <n v="10026255"/>
    <n v="22059910"/>
    <d v="2201-07-07T18:15:00"/>
    <d v="2201-07-13T23:27:00"/>
    <d v="2201-07-13T23:27:00"/>
    <s v="EW EMER."/>
    <s v="P48KFD"/>
    <s v="EMERGENCY ROOM"/>
    <s v="DIED"/>
    <s v="Other"/>
    <s v="ENGLISH"/>
    <s v="MARRIED"/>
    <s v="WHITE"/>
    <d v="2201-07-07T12:31:00"/>
    <d v="2201-07-07T19:40:00"/>
    <n v="1"/>
    <x v="0"/>
    <n v="66"/>
    <x v="1"/>
    <x v="50"/>
  </r>
  <r>
    <n v="10007058"/>
    <n v="22954658"/>
    <d v="2167-11-07T19:05:00"/>
    <d v="2167-11-11T14:23:00"/>
    <m/>
    <s v="EW EMER."/>
    <s v="P76K54"/>
    <s v="EMERGENCY ROOM"/>
    <s v="HOME"/>
    <s v="Other"/>
    <s v="ENGLISH"/>
    <s v="MARRIED"/>
    <s v="WHITE"/>
    <d v="2167-11-07T17:57:00"/>
    <d v="2167-11-07T20:22:00"/>
    <n v="0"/>
    <x v="0"/>
    <n v="48"/>
    <x v="0"/>
    <x v="51"/>
  </r>
  <r>
    <n v="10018845"/>
    <n v="21101111"/>
    <d v="2184-10-08T02:28:00"/>
    <d v="2184-10-11T17:00:00"/>
    <m/>
    <s v="EW EMER."/>
    <s v="P34SFE"/>
    <s v="EMERGENCY ROOM"/>
    <s v="REHAB"/>
    <s v="Other"/>
    <s v="ENGLISH"/>
    <s v="MARRIED"/>
    <s v="WHITE"/>
    <d v="2184-10-07T22:35:00"/>
    <d v="2184-10-08T04:09:00"/>
    <n v="0"/>
    <x v="0"/>
    <n v="91"/>
    <x v="2"/>
    <x v="52"/>
  </r>
  <r>
    <n v="10020640"/>
    <n v="27984218"/>
    <d v="2153-02-13T00:22:00"/>
    <d v="2153-02-20T13:52:00"/>
    <m/>
    <s v="EW EMER."/>
    <s v="P7554I"/>
    <s v="EMERGENCY ROOM"/>
    <s v="SKILLED NURSING FACILITY"/>
    <s v="Other"/>
    <s v="ENGLISH"/>
    <s v="WIDOWED"/>
    <s v="WHITE"/>
    <d v="2153-02-12T21:59:00"/>
    <d v="2153-02-13T01:38:00"/>
    <n v="0"/>
    <x v="1"/>
    <n v="91"/>
    <x v="2"/>
    <x v="53"/>
  </r>
  <r>
    <n v="10018081"/>
    <n v="25973915"/>
    <d v="2134-09-06T15:57:00"/>
    <d v="2134-09-18T15:50:00"/>
    <m/>
    <s v="EW EMER."/>
    <s v="P13ZRJ"/>
    <s v="EMERGENCY ROOM"/>
    <s v="CHRONIC/LONG TERM ACUTE CARE"/>
    <s v="Medicare"/>
    <s v="ENGLISH"/>
    <s v="MARRIED"/>
    <s v="WHITE"/>
    <d v="2134-09-05T16:14:00"/>
    <d v="2134-09-06T16:49:00"/>
    <n v="0"/>
    <x v="0"/>
    <n v="79"/>
    <x v="2"/>
    <x v="54"/>
  </r>
  <r>
    <n v="10018081"/>
    <n v="21027282"/>
    <d v="2133-12-18T16:58:00"/>
    <d v="2134-01-12T11:00:00"/>
    <m/>
    <s v="EW EMER."/>
    <s v="P19SWB"/>
    <s v="EMERGENCY ROOM"/>
    <s v="SKILLED NURSING FACILITY"/>
    <s v="Medicare"/>
    <s v="ENGLISH"/>
    <s v="MARRIED"/>
    <s v="WHITE"/>
    <d v="2133-12-18T12:09:00"/>
    <d v="2133-12-18T17:10:00"/>
    <n v="0"/>
    <x v="0"/>
    <n v="79"/>
    <x v="2"/>
    <x v="55"/>
  </r>
  <r>
    <n v="10021666"/>
    <n v="22756440"/>
    <d v="2172-03-12T23:47:00"/>
    <d v="2172-03-23T15:40:00"/>
    <m/>
    <s v="EW EMER."/>
    <s v="P99698"/>
    <s v="EMERGENCY ROOM"/>
    <s v="CHRONIC/LONG TERM ACUTE CARE"/>
    <s v="Medicare"/>
    <s v="ENGLISH"/>
    <s v="MARRIED"/>
    <s v="WHITE"/>
    <d v="2172-03-12T20:52:00"/>
    <d v="2172-03-13T01:46:00"/>
    <n v="0"/>
    <x v="0"/>
    <n v="87"/>
    <x v="2"/>
    <x v="56"/>
  </r>
  <r>
    <n v="10015272"/>
    <n v="27993466"/>
    <d v="2137-06-12T18:36:00"/>
    <d v="2137-06-18T15:45:00"/>
    <m/>
    <s v="EW EMER."/>
    <s v="P3529J"/>
    <s v="EMERGENCY ROOM"/>
    <s v="HOME HEALTH CARE"/>
    <s v="Medicare"/>
    <s v="ENGLISH"/>
    <s v=""/>
    <s v="WHITE"/>
    <d v="2137-06-12T16:54:00"/>
    <d v="2137-06-12T20:37:00"/>
    <n v="0"/>
    <x v="1"/>
    <n v="78"/>
    <x v="2"/>
    <x v="57"/>
  </r>
  <r>
    <n v="10016810"/>
    <n v="20973395"/>
    <d v="2185-06-16T01:31:00"/>
    <d v="2185-06-21T15:55:00"/>
    <m/>
    <s v="EW EMER."/>
    <s v="P3638G"/>
    <s v="EMERGENCY ROOM"/>
    <s v="HOME"/>
    <s v="Other"/>
    <s v="ENGLISH"/>
    <s v=""/>
    <s v="UNKNOWN"/>
    <d v="2185-06-15T23:08:00"/>
    <d v="2185-06-16T02:16:00"/>
    <n v="0"/>
    <x v="1"/>
    <n v="66"/>
    <x v="1"/>
    <x v="58"/>
  </r>
  <r>
    <n v="10021938"/>
    <n v="23112364"/>
    <d v="2181-10-13T01:48:00"/>
    <d v="2181-10-14T17:40:00"/>
    <m/>
    <s v="EW EMER."/>
    <s v="P3529J"/>
    <s v="EMERGENCY ROOM"/>
    <s v="HOME"/>
    <s v="Medicare"/>
    <s v="ENGLISH"/>
    <s v="SINGLE"/>
    <s v="WHITE"/>
    <d v="2181-10-12T20:17:00"/>
    <d v="2181-10-13T02:52:00"/>
    <n v="0"/>
    <x v="0"/>
    <n v="65"/>
    <x v="1"/>
    <x v="59"/>
  </r>
  <r>
    <n v="10021938"/>
    <n v="27154822"/>
    <d v="2181-10-25T10:44:00"/>
    <d v="2181-10-27T15:30:00"/>
    <m/>
    <s v="EW EMER."/>
    <s v="P99BGS"/>
    <s v="EMERGENCY ROOM"/>
    <s v="HOME"/>
    <s v="Medicare"/>
    <s v="ENGLISH"/>
    <s v="SINGLE"/>
    <s v="WHITE"/>
    <d v="2181-10-25T09:23:00"/>
    <d v="2181-10-25T11:35:00"/>
    <n v="0"/>
    <x v="0"/>
    <n v="65"/>
    <x v="1"/>
    <x v="60"/>
  </r>
  <r>
    <n v="10001725"/>
    <n v="25563031"/>
    <d v="2110-04-11T15:08:00"/>
    <d v="2110-04-14T15:00:00"/>
    <m/>
    <s v="EW EMER."/>
    <s v="P35SU0"/>
    <s v="PACU"/>
    <s v="HOME"/>
    <s v="Other"/>
    <s v="ENGLISH"/>
    <s v="MARRIED"/>
    <s v="WHITE"/>
    <m/>
    <m/>
    <n v="0"/>
    <x v="1"/>
    <n v="46"/>
    <x v="0"/>
    <x v="61"/>
  </r>
  <r>
    <n v="10001217"/>
    <n v="24597018"/>
    <d v="2157-11-18T22:56:00"/>
    <d v="2157-11-25T18:00:00"/>
    <m/>
    <s v="EW EMER."/>
    <s v="P4645A"/>
    <s v="EMERGENCY ROOM"/>
    <s v="HOME HEALTH CARE"/>
    <s v="Other"/>
    <s v="?"/>
    <s v="MARRIED"/>
    <s v="WHITE"/>
    <d v="2157-11-18T17:38:00"/>
    <d v="2157-11-19T01:24:00"/>
    <n v="0"/>
    <x v="1"/>
    <n v="55"/>
    <x v="1"/>
    <x v="62"/>
  </r>
  <r>
    <n v="10023239"/>
    <n v="29295881"/>
    <d v="2137-06-19T17:35:00"/>
    <d v="2137-06-22T14:57:00"/>
    <m/>
    <s v="EW EMER."/>
    <s v="P44WVR"/>
    <s v="EMERGENCY ROOM"/>
    <s v="HOME"/>
    <s v="Other"/>
    <s v="ENGLISH"/>
    <s v="SINGLE"/>
    <s v="WHITE"/>
    <d v="2137-06-19T15:05:00"/>
    <d v="2137-06-19T19:09:00"/>
    <n v="0"/>
    <x v="1"/>
    <n v="29"/>
    <x v="3"/>
    <x v="63"/>
  </r>
  <r>
    <n v="10023239"/>
    <n v="21759936"/>
    <d v="2140-10-03T09:06:00"/>
    <d v="2140-10-08T15:28:00"/>
    <m/>
    <s v="EW EMER."/>
    <s v="P031HZ"/>
    <s v="TRANSFER FROM HOSPITAL"/>
    <s v="HOME"/>
    <s v="Other"/>
    <s v="ENGLISH"/>
    <s v="MARRIED"/>
    <s v="WHITE"/>
    <d v="2140-10-03T06:20:00"/>
    <d v="2140-10-03T11:04:00"/>
    <n v="0"/>
    <x v="1"/>
    <n v="29"/>
    <x v="3"/>
    <x v="64"/>
  </r>
  <r>
    <n v="10020944"/>
    <n v="29974575"/>
    <d v="2131-02-27T15:34:00"/>
    <d v="2131-03-13T17:01:00"/>
    <m/>
    <s v="EW EMER."/>
    <s v="P27588"/>
    <s v="EMERGENCY ROOM"/>
    <s v="SKILLED NURSING FACILITY"/>
    <s v="Medicare"/>
    <s v="ENGLISH"/>
    <s v=""/>
    <s v="UNKNOWN"/>
    <d v="2131-02-27T13:16:00"/>
    <d v="2131-02-27T16:40:00"/>
    <n v="0"/>
    <x v="0"/>
    <n v="72"/>
    <x v="2"/>
    <x v="65"/>
  </r>
  <r>
    <n v="10027602"/>
    <n v="28166872"/>
    <d v="2201-10-30T12:05:00"/>
    <d v="2201-11-20T14:45:00"/>
    <m/>
    <s v="EW EMER."/>
    <s v="P47SIK"/>
    <s v="EMERGENCY ROOM"/>
    <s v="REHAB"/>
    <s v="Other"/>
    <s v="ENGLISH"/>
    <s v="SINGLE"/>
    <s v="WHITE"/>
    <d v="2201-10-30T10:48:00"/>
    <d v="2201-10-30T12:25:00"/>
    <n v="0"/>
    <x v="1"/>
    <n v="71"/>
    <x v="2"/>
    <x v="66"/>
  </r>
  <r>
    <n v="10032725"/>
    <n v="25177949"/>
    <d v="2143-02-17T14:20:00"/>
    <d v="2143-03-16T17:15:00"/>
    <m/>
    <s v="EW EMER."/>
    <s v="P39043"/>
    <s v="EMERGENCY ROOM"/>
    <s v="CHRONIC/LONG TERM ACUTE CARE"/>
    <s v="Other"/>
    <s v="ENGLISH"/>
    <s v="SINGLE"/>
    <s v="BLACK/AFRICAN AMERICAN"/>
    <d v="2143-02-17T07:19:00"/>
    <d v="2143-02-17T15:18:00"/>
    <n v="0"/>
    <x v="1"/>
    <n v="38"/>
    <x v="0"/>
    <x v="67"/>
  </r>
  <r>
    <n v="10032725"/>
    <n v="20611640"/>
    <d v="2143-03-22T04:59:00"/>
    <d v="2143-03-25T13:00:00"/>
    <m/>
    <s v="EW EMER."/>
    <s v="P7554I"/>
    <s v="EMERGENCY ROOM"/>
    <s v="HOSPICE"/>
    <s v="Other"/>
    <s v="ENGLISH"/>
    <s v="SINGLE"/>
    <s v="BLACK/AFRICAN AMERICAN"/>
    <d v="2143-03-22T01:19:00"/>
    <d v="2143-03-22T06:42:00"/>
    <n v="0"/>
    <x v="1"/>
    <n v="38"/>
    <x v="0"/>
    <x v="68"/>
  </r>
  <r>
    <n v="10005348"/>
    <n v="25239799"/>
    <d v="2130-10-26T17:03:00"/>
    <d v="2130-11-02T16:00:00"/>
    <m/>
    <s v="EW EMER."/>
    <s v="P38RSS"/>
    <s v="PROCEDURE SITE"/>
    <s v="SKILLED NURSING FACILITY"/>
    <s v="Other"/>
    <s v="ENGLISH"/>
    <s v="MARRIED"/>
    <s v="WHITE"/>
    <m/>
    <m/>
    <n v="0"/>
    <x v="0"/>
    <n v="76"/>
    <x v="2"/>
    <x v="69"/>
  </r>
  <r>
    <n v="10037861"/>
    <n v="24540843"/>
    <d v="2117-03-14T16:34:00"/>
    <d v="2117-03-24T00:01:00"/>
    <d v="2117-03-24T23:08:00"/>
    <s v="EW EMER."/>
    <s v="P01LRQ"/>
    <s v="EMERGENCY ROOM"/>
    <s v="DIED"/>
    <s v="Medicare"/>
    <s v="ENGLISH"/>
    <s v="MARRIED"/>
    <s v="UNKNOWN"/>
    <d v="2117-03-14T15:19:00"/>
    <d v="2117-03-14T17:53:00"/>
    <n v="1"/>
    <x v="0"/>
    <n v="77"/>
    <x v="2"/>
    <x v="70"/>
  </r>
  <r>
    <n v="10010471"/>
    <n v="29842315"/>
    <d v="2155-12-02T19:36:00"/>
    <d v="2155-12-07T15:30:00"/>
    <d v="2155-12-07T15:30:00"/>
    <s v="EW EMER."/>
    <s v="P04X8Y"/>
    <s v="EMERGENCY ROOM"/>
    <s v="DIED"/>
    <s v="Medicare"/>
    <s v="ENGLISH"/>
    <s v="WIDOWED"/>
    <s v="WHITE"/>
    <d v="2155-12-02T16:00:00"/>
    <d v="2155-12-02T20:33:00"/>
    <n v="1"/>
    <x v="1"/>
    <n v="89"/>
    <x v="2"/>
    <x v="71"/>
  </r>
  <r>
    <n v="10005866"/>
    <n v="27167814"/>
    <d v="2148-03-10T16:16:00"/>
    <d v="2148-03-21T18:30:00"/>
    <m/>
    <s v="EW EMER."/>
    <s v="P28OI9"/>
    <s v="EMERGENCY ROOM"/>
    <s v="SKILLED NURSING FACILITY"/>
    <s v="Medicaid"/>
    <s v="ENGLISH"/>
    <s v="SINGLE"/>
    <s v="PORTUGUESE"/>
    <d v="2148-03-10T04:46:00"/>
    <d v="2148-03-10T11:27:00"/>
    <n v="0"/>
    <x v="0"/>
    <n v="57"/>
    <x v="1"/>
    <x v="72"/>
  </r>
  <r>
    <n v="10005866"/>
    <n v="26134779"/>
    <d v="2149-09-13T07:36:00"/>
    <d v="2149-09-19T18:00:00"/>
    <m/>
    <s v="EW EMER."/>
    <s v="P95QHH"/>
    <s v="EMERGENCY ROOM"/>
    <s v="HOME"/>
    <s v="Medicaid"/>
    <s v="ENGLISH"/>
    <s v="SINGLE"/>
    <s v="PORTUGUESE"/>
    <d v="2149-09-12T15:31:00"/>
    <d v="2149-09-13T09:02:00"/>
    <n v="0"/>
    <x v="0"/>
    <n v="57"/>
    <x v="1"/>
    <x v="17"/>
  </r>
  <r>
    <n v="10005866"/>
    <n v="26158160"/>
    <d v="2146-06-06T00:50:00"/>
    <d v="2146-06-09T16:45:00"/>
    <m/>
    <s v="EW EMER."/>
    <s v="P94RT6"/>
    <s v="EMERGENCY ROOM"/>
    <s v="HOME"/>
    <s v="Medicaid"/>
    <s v="ENGLISH"/>
    <s v="SINGLE"/>
    <s v="PORTUGUESE"/>
    <d v="2146-06-05T22:26:00"/>
    <d v="2146-06-06T01:45:00"/>
    <n v="0"/>
    <x v="0"/>
    <n v="57"/>
    <x v="1"/>
    <x v="73"/>
  </r>
  <r>
    <n v="10024043"/>
    <n v="24717014"/>
    <d v="2117-04-11T20:46:00"/>
    <d v="2117-04-16T18:55:00"/>
    <m/>
    <s v="EW EMER."/>
    <s v="P5487F"/>
    <s v="EMERGENCY ROOM"/>
    <s v="HOME HEALTH CARE"/>
    <s v="Medicare"/>
    <s v="ENGLISH"/>
    <s v="SINGLE"/>
    <s v="BLACK/AFRICAN AMERICAN"/>
    <d v="2117-04-11T17:23:00"/>
    <d v="2117-04-11T22:05:00"/>
    <n v="0"/>
    <x v="0"/>
    <n v="67"/>
    <x v="1"/>
    <x v="74"/>
  </r>
  <r>
    <n v="10021487"/>
    <n v="28998349"/>
    <d v="2116-12-03T00:23:00"/>
    <d v="2116-12-28T13:19:00"/>
    <m/>
    <s v="EW EMER."/>
    <s v="P61T4I"/>
    <s v="EMERGENCY ROOM"/>
    <s v="HOME"/>
    <s v="Other"/>
    <s v="ENGLISH"/>
    <s v="MARRIED"/>
    <s v="WHITE"/>
    <d v="2116-12-02T22:57:00"/>
    <d v="2116-12-03T01:02:00"/>
    <n v="0"/>
    <x v="0"/>
    <n v="43"/>
    <x v="0"/>
    <x v="75"/>
  </r>
  <r>
    <n v="10021487"/>
    <n v="21928381"/>
    <d v="2117-12-03T17:07:00"/>
    <d v="2117-12-06T17:30:00"/>
    <m/>
    <s v="EW EMER."/>
    <s v="P96Y5O"/>
    <s v="PROCEDURE SITE"/>
    <s v="HOME"/>
    <s v="Other"/>
    <s v="ENGLISH"/>
    <s v="DIVORCED"/>
    <s v="WHITE"/>
    <m/>
    <m/>
    <n v="0"/>
    <x v="0"/>
    <n v="43"/>
    <x v="0"/>
    <x v="76"/>
  </r>
  <r>
    <n v="10021487"/>
    <n v="26321862"/>
    <d v="2117-01-28T00:19:00"/>
    <d v="2117-02-05T15:40:00"/>
    <m/>
    <s v="EW EMER."/>
    <s v="P82B0E"/>
    <s v="EMERGENCY ROOM"/>
    <s v="HOME"/>
    <s v="Other"/>
    <s v="ENGLISH"/>
    <s v="MARRIED"/>
    <s v="WHITE"/>
    <d v="2117-01-27T18:19:00"/>
    <d v="2117-01-28T01:23:00"/>
    <n v="0"/>
    <x v="0"/>
    <n v="43"/>
    <x v="0"/>
    <x v="77"/>
  </r>
  <r>
    <n v="10021487"/>
    <n v="27112038"/>
    <d v="2117-10-25T22:22:00"/>
    <d v="2117-10-29T14:40:00"/>
    <m/>
    <s v="EW EMER."/>
    <s v="P233F6"/>
    <s v="EMERGENCY ROOM"/>
    <s v="HOME"/>
    <s v="Other"/>
    <s v="ENGLISH"/>
    <s v="DIVORCED"/>
    <s v="WHITE"/>
    <d v="2117-10-25T15:49:00"/>
    <d v="2117-10-25T22:53:00"/>
    <n v="0"/>
    <x v="0"/>
    <n v="43"/>
    <x v="0"/>
    <x v="78"/>
  </r>
  <r>
    <n v="10015860"/>
    <n v="24698912"/>
    <d v="2192-05-12T07:42:00"/>
    <d v="2192-05-27T18:50:00"/>
    <m/>
    <s v="EW EMER."/>
    <s v="P03YMR"/>
    <s v="PHYSICIAN REFERRAL"/>
    <s v="SKILLED NURSING FACILITY"/>
    <s v="Other"/>
    <s v="ENGLISH"/>
    <s v="SINGLE"/>
    <s v="WHITE"/>
    <d v="2192-05-11T16:26:00"/>
    <d v="2192-05-12T09:31:00"/>
    <n v="0"/>
    <x v="0"/>
    <n v="53"/>
    <x v="1"/>
    <x v="79"/>
  </r>
  <r>
    <n v="10015860"/>
    <n v="28236161"/>
    <d v="2187-09-15T18:49:00"/>
    <d v="2187-09-19T14:50:00"/>
    <m/>
    <s v="EW EMER."/>
    <s v="P62A9I"/>
    <s v="EMERGENCY ROOM"/>
    <s v="HOME HEALTH CARE"/>
    <s v="Other"/>
    <s v="ENGLISH"/>
    <s v="SINGLE"/>
    <s v="WHITE"/>
    <d v="2187-09-15T14:14:00"/>
    <d v="2187-09-15T20:49:00"/>
    <n v="0"/>
    <x v="0"/>
    <n v="53"/>
    <x v="1"/>
    <x v="2"/>
  </r>
  <r>
    <n v="10015860"/>
    <n v="20790339"/>
    <d v="2189-05-23T02:14:00"/>
    <d v="2189-05-25T14:45:00"/>
    <m/>
    <s v="EW EMER."/>
    <s v="P00P3O"/>
    <s v="EMERGENCY ROOM"/>
    <s v="HOME HEALTH CARE"/>
    <s v="Other"/>
    <s v="ENGLISH"/>
    <s v="SINGLE"/>
    <s v="WHITE"/>
    <d v="2189-05-22T23:18:00"/>
    <d v="2189-05-23T03:38:00"/>
    <n v="0"/>
    <x v="0"/>
    <n v="53"/>
    <x v="1"/>
    <x v="80"/>
  </r>
  <r>
    <n v="10015860"/>
    <n v="25085565"/>
    <d v="2186-09-15T16:12:00"/>
    <d v="2186-09-29T18:05:00"/>
    <m/>
    <s v="EW EMER."/>
    <s v="P56SP9"/>
    <s v="EMERGENCY ROOM"/>
    <s v="REHAB"/>
    <s v="Other"/>
    <s v="ENGLISH"/>
    <s v="SINGLE"/>
    <s v="WHITE"/>
    <d v="2186-09-15T12:56:00"/>
    <d v="2186-09-15T17:15:00"/>
    <n v="0"/>
    <x v="0"/>
    <n v="53"/>
    <x v="1"/>
    <x v="81"/>
  </r>
  <r>
    <n v="10015860"/>
    <n v="20854119"/>
    <d v="2188-08-06T00:49:00"/>
    <d v="2188-08-12T17:49:00"/>
    <m/>
    <s v="EW EMER."/>
    <s v="P29CGZ"/>
    <s v="EMERGENCY ROOM"/>
    <s v="HOME HEALTH CARE"/>
    <s v="Other"/>
    <s v="ENGLISH"/>
    <s v="SINGLE"/>
    <s v="WHITE"/>
    <d v="2188-08-05T20:36:00"/>
    <d v="2188-08-06T03:24:00"/>
    <n v="0"/>
    <x v="0"/>
    <n v="53"/>
    <x v="1"/>
    <x v="81"/>
  </r>
  <r>
    <n v="10018423"/>
    <n v="29366372"/>
    <d v="2167-05-03T21:24:00"/>
    <d v="2167-05-11T12:57:00"/>
    <m/>
    <s v="EW EMER."/>
    <s v="P204LI"/>
    <s v="EMERGENCY ROOM"/>
    <s v="HOME HEALTH CARE"/>
    <s v="Other"/>
    <s v="ENGLISH"/>
    <s v="MARRIED"/>
    <s v="WHITE"/>
    <d v="2167-05-03T15:18:00"/>
    <d v="2167-05-03T22:50:00"/>
    <n v="0"/>
    <x v="0"/>
    <n v="37"/>
    <x v="0"/>
    <x v="82"/>
  </r>
  <r>
    <n v="10007928"/>
    <n v="20338077"/>
    <d v="2129-04-05T22:56:00"/>
    <d v="2129-04-11T17:25:00"/>
    <m/>
    <s v="EW EMER."/>
    <s v="P825SO"/>
    <s v="EMERGENCY ROOM"/>
    <s v="HOME"/>
    <s v="Other"/>
    <s v="ENGLISH"/>
    <s v="DIVORCED"/>
    <s v="WHITE"/>
    <d v="2129-04-05T21:18:00"/>
    <d v="2129-04-06T00:25:00"/>
    <n v="0"/>
    <x v="1"/>
    <n v="59"/>
    <x v="1"/>
    <x v="83"/>
  </r>
  <r>
    <n v="10014078"/>
    <n v="25809882"/>
    <d v="2166-08-21T23:09:00"/>
    <d v="2166-08-26T14:48:00"/>
    <m/>
    <s v="EW EMER."/>
    <s v="P64JK6"/>
    <s v="EMERGENCY ROOM"/>
    <s v="HOME HEALTH CARE"/>
    <s v="Medicaid"/>
    <s v="ENGLISH"/>
    <s v=""/>
    <s v="UNABLE TO OBTAIN"/>
    <d v="2166-08-21T21:39:00"/>
    <d v="2166-08-22T00:36:00"/>
    <n v="0"/>
    <x v="1"/>
    <n v="60"/>
    <x v="1"/>
    <x v="84"/>
  </r>
  <r>
    <n v="10020740"/>
    <n v="25826145"/>
    <d v="2150-06-03T20:12:00"/>
    <d v="2150-06-07T15:05:00"/>
    <m/>
    <s v="EW EMER."/>
    <s v="P80QIV"/>
    <s v="PACU"/>
    <s v="SKILLED NURSING FACILITY"/>
    <s v="Other"/>
    <s v="ENGLISH"/>
    <s v="SINGLE"/>
    <s v="WHITE"/>
    <m/>
    <m/>
    <n v="0"/>
    <x v="0"/>
    <n v="56"/>
    <x v="1"/>
    <x v="85"/>
  </r>
  <r>
    <n v="10008454"/>
    <n v="20291550"/>
    <d v="2110-11-30T06:31:00"/>
    <d v="2110-12-10T15:53:00"/>
    <m/>
    <s v="EW EMER."/>
    <s v="P77BSD"/>
    <s v="EMERGENCY ROOM"/>
    <s v="HOME HEALTH CARE"/>
    <s v="Other"/>
    <s v="ENGLISH"/>
    <s v="SINGLE"/>
    <s v="WHITE"/>
    <d v="2110-11-30T04:45:00"/>
    <d v="2110-11-30T08:03:00"/>
    <n v="0"/>
    <x v="1"/>
    <n v="26"/>
    <x v="3"/>
    <x v="86"/>
  </r>
  <r>
    <n v="10022281"/>
    <n v="29642388"/>
    <d v="2125-06-17T04:11:00"/>
    <d v="2125-06-19T15:25:00"/>
    <m/>
    <s v="EW EMER."/>
    <s v="P76K54"/>
    <s v="EMERGENCY ROOM"/>
    <s v="HOME"/>
    <s v="Other"/>
    <s v="ENGLISH"/>
    <s v="MARRIED"/>
    <s v="OTHER"/>
    <d v="2125-06-16T20:32:00"/>
    <d v="2125-06-17T05:14:00"/>
    <n v="0"/>
    <x v="0"/>
    <n v="84"/>
    <x v="2"/>
    <x v="87"/>
  </r>
  <r>
    <n v="10014354"/>
    <n v="24357615"/>
    <d v="2150-05-09T16:09:00"/>
    <d v="2150-05-10T15:59:00"/>
    <m/>
    <s v="EW EMER."/>
    <s v="P15PLY"/>
    <s v="PHYSICIAN REFERRAL"/>
    <s v="HOME HEALTH CARE"/>
    <s v="Other"/>
    <s v="ENGLISH"/>
    <s v="SINGLE"/>
    <s v="WHITE"/>
    <d v="2150-05-08T22:30:00"/>
    <d v="2150-05-09T19:09:00"/>
    <n v="0"/>
    <x v="0"/>
    <n v="60"/>
    <x v="1"/>
    <x v="88"/>
  </r>
  <r>
    <n v="10014354"/>
    <n v="22741225"/>
    <d v="2146-10-08T23:47:00"/>
    <d v="2146-10-12T18:20:00"/>
    <m/>
    <s v="EW EMER."/>
    <s v="P5487F"/>
    <s v="EMERGENCY ROOM"/>
    <s v="HOME HEALTH CARE"/>
    <s v="Other"/>
    <s v="ENGLISH"/>
    <s v="MARRIED"/>
    <s v="WHITE"/>
    <d v="2146-10-08T21:27:00"/>
    <d v="2146-10-09T01:08:00"/>
    <n v="0"/>
    <x v="0"/>
    <n v="60"/>
    <x v="1"/>
    <x v="89"/>
  </r>
  <r>
    <n v="10014354"/>
    <n v="26013492"/>
    <d v="2147-11-14T22:12:00"/>
    <d v="2147-11-16T15:00:00"/>
    <m/>
    <s v="EW EMER."/>
    <s v="P424IO"/>
    <s v="EMERGENCY ROOM"/>
    <s v="HOME HEALTH CARE"/>
    <s v="Other"/>
    <s v="ENGLISH"/>
    <s v="SINGLE"/>
    <s v="WHITE"/>
    <d v="2147-11-14T18:22:00"/>
    <d v="2147-11-14T23:09:00"/>
    <n v="0"/>
    <x v="0"/>
    <n v="60"/>
    <x v="1"/>
    <x v="45"/>
  </r>
  <r>
    <n v="10014354"/>
    <n v="29757856"/>
    <d v="2150-04-10T02:40:00"/>
    <d v="2150-04-15T18:00:00"/>
    <m/>
    <s v="EW EMER."/>
    <s v="P08904"/>
    <s v="WALK-IN/SELF REFERRAL"/>
    <s v="HOME HEALTH CARE"/>
    <s v="Other"/>
    <s v="ENGLISH"/>
    <s v="SINGLE"/>
    <s v="WHITE"/>
    <d v="2150-04-09T19:50:00"/>
    <d v="2150-04-10T03:46:00"/>
    <n v="0"/>
    <x v="0"/>
    <n v="60"/>
    <x v="1"/>
    <x v="90"/>
  </r>
  <r>
    <n v="10038933"/>
    <n v="25129047"/>
    <d v="2148-09-10T12:09:00"/>
    <d v="2148-09-23T12:18:00"/>
    <m/>
    <s v="EW EMER."/>
    <s v="P47KFL"/>
    <s v="EMERGENCY ROOM"/>
    <s v="REHAB"/>
    <s v="Other"/>
    <s v="ENGLISH"/>
    <s v="SINGLE"/>
    <s v="WHITE"/>
    <d v="2148-09-10T09:23:00"/>
    <d v="2148-09-10T13:19:00"/>
    <n v="0"/>
    <x v="0"/>
    <n v="34"/>
    <x v="0"/>
    <x v="91"/>
  </r>
  <r>
    <n v="10016150"/>
    <n v="29374560"/>
    <d v="2142-05-10T15:05:00"/>
    <d v="2142-05-15T19:49:00"/>
    <m/>
    <s v="EW EMER."/>
    <s v="P1037P"/>
    <s v="PROCEDURE SITE"/>
    <s v="REHAB"/>
    <s v="Medicare"/>
    <s v="ENGLISH"/>
    <s v="SINGLE"/>
    <s v="WHITE"/>
    <m/>
    <m/>
    <n v="0"/>
    <x v="0"/>
    <n v="69"/>
    <x v="1"/>
    <x v="92"/>
  </r>
  <r>
    <n v="10022041"/>
    <n v="28909879"/>
    <d v="2187-05-18T17:08:00"/>
    <d v="2187-05-23T17:20:00"/>
    <m/>
    <s v="EW EMER."/>
    <s v="P09IS0"/>
    <s v="EMERGENCY ROOM"/>
    <s v="HOME HEALTH CARE"/>
    <s v="Medicare"/>
    <s v="ENGLISH"/>
    <s v="MARRIED"/>
    <s v="OTHER"/>
    <d v="2187-05-18T14:59:00"/>
    <d v="2187-05-18T18:39:00"/>
    <n v="0"/>
    <x v="0"/>
    <n v="64"/>
    <x v="1"/>
    <x v="93"/>
  </r>
  <r>
    <n v="10039708"/>
    <n v="20572787"/>
    <d v="2138-10-30T23:30:00"/>
    <d v="2138-11-06T23:30:00"/>
    <m/>
    <s v="EW EMER."/>
    <s v="P39SWK"/>
    <s v="EMERGENCY ROOM"/>
    <s v="AGAINST ADVICE"/>
    <s v="Other"/>
    <s v="ENGLISH"/>
    <s v="SINGLE"/>
    <s v="BLACK/AFRICAN AMERICAN"/>
    <d v="2138-10-30T17:27:00"/>
    <d v="2138-10-31T00:19:00"/>
    <n v="0"/>
    <x v="1"/>
    <n v="46"/>
    <x v="0"/>
    <x v="94"/>
  </r>
  <r>
    <n v="10039708"/>
    <n v="28258130"/>
    <d v="2140-01-23T16:19:00"/>
    <d v="2140-02-26T18:15:00"/>
    <m/>
    <s v="EW EMER."/>
    <s v="P44WVR"/>
    <s v="EMERGENCY ROOM"/>
    <s v="CHRONIC/LONG TERM ACUTE CARE"/>
    <s v="Other"/>
    <s v="ENGLISH"/>
    <s v="SINGLE"/>
    <s v="BLACK/AFRICAN AMERICAN"/>
    <d v="2140-01-23T12:35:00"/>
    <d v="2140-01-23T18:08:00"/>
    <n v="0"/>
    <x v="1"/>
    <n v="46"/>
    <x v="0"/>
    <x v="95"/>
  </r>
  <r>
    <n v="10000032"/>
    <n v="22841357"/>
    <d v="2180-06-26T18:27:00"/>
    <d v="2180-06-27T18:49:00"/>
    <m/>
    <s v="EW EMER."/>
    <s v="P09Q6Y"/>
    <s v="EMERGENCY ROOM"/>
    <s v="HOME"/>
    <s v="Medicaid"/>
    <s v="ENGLISH"/>
    <s v="WIDOWED"/>
    <s v="WHITE"/>
    <d v="2180-06-26T15:54:00"/>
    <d v="2180-06-26T21:31:00"/>
    <n v="0"/>
    <x v="1"/>
    <n v="52"/>
    <x v="1"/>
    <x v="96"/>
  </r>
  <r>
    <n v="10000032"/>
    <n v="25742920"/>
    <d v="2180-08-05T23:44:00"/>
    <d v="2180-08-07T17:50:00"/>
    <m/>
    <s v="EW EMER."/>
    <s v="P60CC5"/>
    <s v="EMERGENCY ROOM"/>
    <s v="HOSPICE"/>
    <s v="Medicaid"/>
    <s v="ENGLISH"/>
    <s v="WIDOWED"/>
    <s v="WHITE"/>
    <d v="2180-08-05T20:58:00"/>
    <d v="2180-08-06T01:44:00"/>
    <n v="0"/>
    <x v="1"/>
    <n v="52"/>
    <x v="1"/>
    <x v="97"/>
  </r>
  <r>
    <n v="10000032"/>
    <n v="29079034"/>
    <d v="2180-07-23T12:35:00"/>
    <d v="2180-07-25T17:55:00"/>
    <m/>
    <s v="EW EMER."/>
    <s v="P30KEH"/>
    <s v="EMERGENCY ROOM"/>
    <s v="HOME"/>
    <s v="Medicaid"/>
    <s v="ENGLISH"/>
    <s v="WIDOWED"/>
    <s v="WHITE"/>
    <d v="2180-07-23T05:54:00"/>
    <d v="2180-07-23T14:00:00"/>
    <n v="0"/>
    <x v="1"/>
    <n v="52"/>
    <x v="1"/>
    <x v="98"/>
  </r>
  <r>
    <n v="10026406"/>
    <n v="25260176"/>
    <d v="2129-01-03T15:55:00"/>
    <d v="2129-01-05T14:10:00"/>
    <m/>
    <s v="EW EMER."/>
    <s v="P51MA2"/>
    <s v="EMERGENCY ROOM"/>
    <s v="AGAINST ADVICE"/>
    <s v="Other"/>
    <s v="ENGLISH"/>
    <s v="DIVORCED"/>
    <s v="WHITE"/>
    <d v="2129-01-02T23:41:00"/>
    <d v="2129-01-03T18:33:00"/>
    <n v="0"/>
    <x v="0"/>
    <n v="45"/>
    <x v="0"/>
    <x v="99"/>
  </r>
  <r>
    <n v="10037928"/>
    <n v="22326517"/>
    <d v="2177-12-21T20:47:00"/>
    <d v="2177-12-23T17:45:00"/>
    <m/>
    <s v="EW EMER."/>
    <s v="P51MA2"/>
    <s v="EMERGENCY ROOM"/>
    <s v="HOME HEALTH CARE"/>
    <s v="Medicare"/>
    <s v="?"/>
    <s v="WIDOWED"/>
    <s v="HISPANIC/LATINO - CUBAN"/>
    <d v="2177-12-21T16:49:00"/>
    <d v="2177-12-21T22:26:00"/>
    <n v="0"/>
    <x v="1"/>
    <n v="78"/>
    <x v="2"/>
    <x v="100"/>
  </r>
  <r>
    <n v="10037928"/>
    <n v="22490490"/>
    <d v="2177-07-14T16:55:00"/>
    <d v="2177-07-24T13:33:00"/>
    <m/>
    <s v="EW EMER."/>
    <s v="P44WVR"/>
    <s v="EMERGENCY ROOM"/>
    <s v="HOME HEALTH CARE"/>
    <s v="Medicare"/>
    <s v="?"/>
    <s v="WIDOWED"/>
    <s v="HISPANIC/LATINO - CUBAN"/>
    <d v="2177-07-14T14:52:00"/>
    <d v="2177-07-14T20:38:00"/>
    <n v="0"/>
    <x v="1"/>
    <n v="78"/>
    <x v="2"/>
    <x v="101"/>
  </r>
  <r>
    <n v="10037928"/>
    <n v="20192635"/>
    <d v="2177-09-04T12:05:00"/>
    <d v="2177-09-07T16:10:00"/>
    <m/>
    <s v="EW EMER."/>
    <s v="P072C5"/>
    <s v="EMERGENCY ROOM"/>
    <s v="HOME HEALTH CARE"/>
    <s v="Medicare"/>
    <s v="?"/>
    <s v="WIDOWED"/>
    <s v="HISPANIC/LATINO - CUBAN"/>
    <d v="2177-09-04T06:29:00"/>
    <d v="2177-09-04T14:44:00"/>
    <n v="0"/>
    <x v="1"/>
    <n v="78"/>
    <x v="2"/>
    <x v="102"/>
  </r>
  <r>
    <n v="10037928"/>
    <n v="29802992"/>
    <d v="2179-07-25T00:06:00"/>
    <d v="2179-07-28T15:54:00"/>
    <m/>
    <s v="EW EMER."/>
    <s v="P450WM"/>
    <s v="EMERGENCY ROOM"/>
    <s v="HOME HEALTH CARE"/>
    <s v="Medicare"/>
    <s v="?"/>
    <s v="WIDOWED"/>
    <s v="HISPANIC/LATINO - CUBAN"/>
    <d v="2179-07-24T18:21:00"/>
    <d v="2179-07-25T01:17:00"/>
    <n v="0"/>
    <x v="1"/>
    <n v="78"/>
    <x v="2"/>
    <x v="66"/>
  </r>
  <r>
    <n v="10037928"/>
    <n v="23721604"/>
    <d v="2179-03-27T18:27:00"/>
    <d v="2179-04-04T19:40:00"/>
    <m/>
    <s v="EW EMER."/>
    <s v="P80GYA"/>
    <s v="EMERGENCY ROOM"/>
    <s v="HOME HEALTH CARE"/>
    <s v="Medicare"/>
    <s v="?"/>
    <s v="WIDOWED"/>
    <s v="HISPANIC/LATINO - CUBAN"/>
    <d v="2179-03-27T14:15:00"/>
    <d v="2179-03-27T19:48:00"/>
    <n v="0"/>
    <x v="1"/>
    <n v="78"/>
    <x v="2"/>
    <x v="103"/>
  </r>
  <r>
    <n v="10037928"/>
    <n v="24225421"/>
    <d v="2178-09-28T23:05:00"/>
    <d v="2178-10-02T17:13:00"/>
    <m/>
    <s v="EW EMER."/>
    <s v="P30AMB"/>
    <s v="EMERGENCY ROOM"/>
    <s v="HOME"/>
    <s v="Medicare"/>
    <s v="?"/>
    <s v="WIDOWED"/>
    <s v="HISPANIC/LATINO - CUBAN"/>
    <d v="2178-09-28T20:29:00"/>
    <d v="2178-09-29T00:43:00"/>
    <n v="0"/>
    <x v="1"/>
    <n v="78"/>
    <x v="2"/>
    <x v="104"/>
  </r>
  <r>
    <n v="10037928"/>
    <n v="24656677"/>
    <d v="2178-12-21T05:30:00"/>
    <d v="2178-12-26T18:35:00"/>
    <m/>
    <s v="EW EMER."/>
    <s v="P30SZF"/>
    <s v="EMERGENCY ROOM"/>
    <s v="HOME HEALTH CARE"/>
    <s v="Medicare"/>
    <s v="?"/>
    <s v="WIDOWED"/>
    <s v="HISPANIC/LATINO - CUBAN"/>
    <d v="2178-12-21T03:17:00"/>
    <d v="2178-12-21T08:27:00"/>
    <n v="0"/>
    <x v="1"/>
    <n v="78"/>
    <x v="2"/>
    <x v="105"/>
  </r>
  <r>
    <n v="10029484"/>
    <n v="20764029"/>
    <d v="2160-11-08T04:16:00"/>
    <d v="2160-11-11T11:40:00"/>
    <m/>
    <s v="EW EMER."/>
    <s v="P38TI6"/>
    <s v="EMERGENCY ROOM"/>
    <s v="HOME"/>
    <s v="Other"/>
    <s v="ENGLISH"/>
    <s v="SINGLE"/>
    <s v="WHITE"/>
    <d v="2160-11-07T19:15:00"/>
    <d v="2160-11-08T05:23:00"/>
    <n v="0"/>
    <x v="0"/>
    <n v="64"/>
    <x v="1"/>
    <x v="10"/>
  </r>
  <r>
    <n v="10027445"/>
    <n v="26275841"/>
    <d v="2142-07-31T00:32:00"/>
    <d v="2142-08-09T17:30:00"/>
    <m/>
    <s v="EW EMER."/>
    <s v="P3529J"/>
    <s v="EMERGENCY ROOM"/>
    <s v="HOME HEALTH CARE"/>
    <s v="Other"/>
    <s v="ENGLISH"/>
    <s v="WIDOWED"/>
    <s v="WHITE"/>
    <d v="2142-07-30T23:33:00"/>
    <d v="2142-07-31T01:41:00"/>
    <n v="0"/>
    <x v="1"/>
    <n v="48"/>
    <x v="0"/>
    <x v="106"/>
  </r>
  <r>
    <n v="10012853"/>
    <n v="22539296"/>
    <d v="2176-06-06T18:09:00"/>
    <d v="2176-06-08T18:30:00"/>
    <m/>
    <s v="EW EMER."/>
    <s v="P172D4"/>
    <s v="EMERGENCY ROOM"/>
    <s v="HOME"/>
    <s v="Medicare"/>
    <s v="ENGLISH"/>
    <s v="WIDOWED"/>
    <s v="BLACK/AFRICAN AMERICAN"/>
    <d v="2176-06-06T13:33:00"/>
    <d v="2176-06-06T20:18:00"/>
    <n v="0"/>
    <x v="1"/>
    <n v="91"/>
    <x v="2"/>
    <x v="101"/>
  </r>
  <r>
    <n v="10012853"/>
    <n v="26369609"/>
    <d v="2175-04-05T15:36:00"/>
    <d v="2175-04-10T16:55:00"/>
    <m/>
    <s v="EW EMER."/>
    <s v="P623U2"/>
    <s v="EMERGENCY ROOM"/>
    <s v="HOME"/>
    <s v="Other"/>
    <s v="ENGLISH"/>
    <s v="WIDOWED"/>
    <s v="BLACK/AFRICAN AMERICAN"/>
    <d v="2175-04-05T06:22:00"/>
    <d v="2175-04-05T17:10:00"/>
    <n v="0"/>
    <x v="1"/>
    <n v="91"/>
    <x v="2"/>
    <x v="107"/>
  </r>
  <r>
    <n v="10012853"/>
    <n v="27882036"/>
    <d v="2176-11-25T21:28:00"/>
    <d v="2176-12-03T15:24:00"/>
    <m/>
    <s v="EW EMER."/>
    <s v="P450WM"/>
    <s v="EMERGENCY ROOM"/>
    <s v="SKILLED NURSING FACILITY"/>
    <s v="Medicare"/>
    <s v="ENGLISH"/>
    <s v="WIDOWED"/>
    <s v="BLACK/AFRICAN AMERICAN"/>
    <d v="2176-11-25T18:34:00"/>
    <d v="2176-11-25T23:51:00"/>
    <n v="0"/>
    <x v="1"/>
    <n v="91"/>
    <x v="2"/>
    <x v="108"/>
  </r>
  <r>
    <n v="10019003"/>
    <n v="29279905"/>
    <d v="2153-03-27T23:25:00"/>
    <d v="2153-04-07T16:20:00"/>
    <m/>
    <s v="EW EMER."/>
    <s v="P60F78"/>
    <s v="EMERGENCY ROOM"/>
    <s v="HOME HEALTH CARE"/>
    <s v="Other"/>
    <s v="ENGLISH"/>
    <s v="WIDOWED"/>
    <s v="WHITE"/>
    <d v="2153-03-27T21:28:00"/>
    <d v="2153-03-28T02:21:00"/>
    <n v="0"/>
    <x v="1"/>
    <n v="65"/>
    <x v="1"/>
    <x v="109"/>
  </r>
  <r>
    <n v="10019003"/>
    <n v="21457723"/>
    <d v="2155-07-10T17:48:00"/>
    <d v="2155-07-18T16:59:00"/>
    <m/>
    <s v="EW EMER."/>
    <s v="P44WVR"/>
    <s v="TRANSFER FROM HOSPITAL"/>
    <s v="HOME"/>
    <s v="Other"/>
    <s v="ENGLISH"/>
    <s v="WIDOWED"/>
    <s v="WHITE"/>
    <d v="2155-07-10T12:46:00"/>
    <d v="2155-07-10T19:03:00"/>
    <n v="0"/>
    <x v="1"/>
    <n v="65"/>
    <x v="1"/>
    <x v="110"/>
  </r>
  <r>
    <n v="10019003"/>
    <n v="27525946"/>
    <d v="2153-04-12T19:07:00"/>
    <d v="2153-04-20T17:09:00"/>
    <m/>
    <s v="EW EMER."/>
    <s v="P56B4N"/>
    <s v="EMERGENCY ROOM"/>
    <s v="HOME"/>
    <s v="Other"/>
    <s v="ENGLISH"/>
    <s v="WIDOWED"/>
    <s v="WHITE"/>
    <d v="2153-04-12T13:03:00"/>
    <d v="2153-04-12T21:40:00"/>
    <n v="0"/>
    <x v="1"/>
    <n v="65"/>
    <x v="1"/>
    <x v="111"/>
  </r>
  <r>
    <n v="10019003"/>
    <n v="26703331"/>
    <d v="2155-06-10T23:09:00"/>
    <d v="2155-06-15T16:30:00"/>
    <m/>
    <s v="EW EMER."/>
    <s v="P203BW"/>
    <s v="TRANSFER FROM HOSPITAL"/>
    <s v="HOME HEALTH CARE"/>
    <s v="Other"/>
    <s v="ENGLISH"/>
    <s v="WIDOWED"/>
    <s v="WHITE"/>
    <d v="2155-06-10T20:37:00"/>
    <d v="2155-06-11T01:53:00"/>
    <n v="0"/>
    <x v="1"/>
    <n v="65"/>
    <x v="1"/>
    <x v="112"/>
  </r>
  <r>
    <n v="10019777"/>
    <n v="27738145"/>
    <d v="2187-02-10T18:57:00"/>
    <d v="2187-02-27T13:22:00"/>
    <m/>
    <s v="EW EMER."/>
    <s v="P08BV8"/>
    <s v="EMERGENCY ROOM"/>
    <s v="HOSPICE"/>
    <s v="Other"/>
    <s v="ENGLISH"/>
    <s v="DIVORCED"/>
    <s v="WHITE"/>
    <d v="2187-02-10T15:11:00"/>
    <d v="2187-02-10T20:34:00"/>
    <n v="0"/>
    <x v="0"/>
    <n v="51"/>
    <x v="1"/>
    <x v="113"/>
  </r>
  <r>
    <n v="10018501"/>
    <n v="28479513"/>
    <d v="2141-07-30T22:34:00"/>
    <d v="2141-08-05T18:06:00"/>
    <m/>
    <s v="EW EMER."/>
    <s v="P99698"/>
    <s v="EMERGENCY ROOM"/>
    <s v="SKILLED NURSING FACILITY"/>
    <s v="Medicare"/>
    <s v="ENGLISH"/>
    <s v=""/>
    <s v="WHITE"/>
    <d v="2141-07-30T18:53:00"/>
    <d v="2141-07-31T00:01:00"/>
    <n v="0"/>
    <x v="0"/>
    <n v="83"/>
    <x v="2"/>
    <x v="114"/>
  </r>
  <r>
    <n v="10004422"/>
    <n v="21255400"/>
    <d v="2111-01-15T14:55:00"/>
    <d v="2111-01-25T15:00:00"/>
    <m/>
    <s v="EW EMER."/>
    <s v="P1037P"/>
    <s v="PROCEDURE SITE"/>
    <s v="HOME HEALTH CARE"/>
    <s v="Medicare"/>
    <s v="ENGLISH"/>
    <s v="WIDOWED"/>
    <s v="WHITE"/>
    <m/>
    <m/>
    <n v="0"/>
    <x v="0"/>
    <n v="78"/>
    <x v="2"/>
    <x v="115"/>
  </r>
  <r>
    <n v="10003400"/>
    <n v="27296885"/>
    <d v="2136-12-31T21:40:00"/>
    <d v="2137-01-03T17:05:00"/>
    <m/>
    <s v="EW EMER."/>
    <s v="P14622"/>
    <s v="EMERGENCY ROOM"/>
    <s v="SKILLED NURSING FACILITY"/>
    <s v="Medicare"/>
    <s v="ENGLISH"/>
    <s v="MARRIED"/>
    <s v="BLACK/AFRICAN AMERICAN"/>
    <d v="2136-12-31T13:41:00"/>
    <d v="2137-01-01T00:35:00"/>
    <n v="0"/>
    <x v="1"/>
    <n v="72"/>
    <x v="2"/>
    <x v="116"/>
  </r>
  <r>
    <n v="10003400"/>
    <n v="29483621"/>
    <d v="2136-11-04T20:43:00"/>
    <d v="2136-11-12T17:40:00"/>
    <m/>
    <s v="EW EMER."/>
    <s v="P37QNF"/>
    <s v="EMERGENCY ROOM"/>
    <s v="SKILLED NURSING FACILITY"/>
    <s v="Medicare"/>
    <s v="ENGLISH"/>
    <s v="MARRIED"/>
    <s v="BLACK/AFRICAN AMERICAN"/>
    <d v="2136-11-04T16:08:00"/>
    <d v="2136-11-04T22:12:00"/>
    <n v="0"/>
    <x v="1"/>
    <n v="72"/>
    <x v="2"/>
    <x v="58"/>
  </r>
  <r>
    <n v="10003400"/>
    <n v="22390287"/>
    <d v="2137-02-07T19:42:00"/>
    <d v="2137-02-18T18:30:00"/>
    <m/>
    <s v="EW EMER."/>
    <s v="P42DF5"/>
    <s v="EMERGENCY ROOM"/>
    <s v="SKILLED NURSING FACILITY"/>
    <s v="Medicare"/>
    <s v="ENGLISH"/>
    <s v="MARRIED"/>
    <s v="BLACK/AFRICAN AMERICAN"/>
    <d v="2137-02-07T13:06:00"/>
    <d v="2137-02-07T21:44:00"/>
    <n v="0"/>
    <x v="1"/>
    <n v="72"/>
    <x v="2"/>
    <x v="117"/>
  </r>
  <r>
    <n v="10003400"/>
    <n v="26090619"/>
    <d v="2134-06-06T02:25:00"/>
    <d v="2134-06-07T15:05:00"/>
    <m/>
    <s v="EW EMER."/>
    <s v="P77SO2"/>
    <s v="EMERGENCY ROOM"/>
    <s v="HOME HEALTH CARE"/>
    <s v="Medicare"/>
    <s v="ENGLISH"/>
    <s v="MARRIED"/>
    <s v="BLACK/AFRICAN AMERICAN"/>
    <d v="2134-06-05T21:42:00"/>
    <d v="2134-06-06T03:44:00"/>
    <n v="0"/>
    <x v="1"/>
    <n v="72"/>
    <x v="2"/>
    <x v="118"/>
  </r>
  <r>
    <n v="10003400"/>
    <n v="26467376"/>
    <d v="2136-12-09T14:44:00"/>
    <d v="2136-12-15T16:00:00"/>
    <m/>
    <s v="EW EMER."/>
    <s v="P14622"/>
    <s v="EMERGENCY ROOM"/>
    <s v="SKILLED NURSING FACILITY"/>
    <s v="Medicare"/>
    <s v="ENGLISH"/>
    <s v="MARRIED"/>
    <s v="BLACK/AFRICAN AMERICAN"/>
    <d v="2136-12-09T13:16:00"/>
    <d v="2136-12-09T18:45:00"/>
    <n v="0"/>
    <x v="1"/>
    <n v="72"/>
    <x v="2"/>
    <x v="101"/>
  </r>
  <r>
    <n v="10023117"/>
    <n v="28872262"/>
    <d v="2171-11-07T21:37:00"/>
    <d v="2171-11-22T15:30:00"/>
    <m/>
    <s v="EW EMER."/>
    <s v="P89ZCW"/>
    <s v="EMERGENCY ROOM"/>
    <s v="HOME HEALTH CARE"/>
    <s v="Medicare"/>
    <s v="ENGLISH"/>
    <s v="WIDOWED"/>
    <s v="WHITE"/>
    <d v="2171-11-07T17:40:00"/>
    <d v="2171-11-07T22:50:00"/>
    <n v="0"/>
    <x v="0"/>
    <n v="53"/>
    <x v="1"/>
    <x v="92"/>
  </r>
  <r>
    <n v="10023117"/>
    <n v="29858644"/>
    <d v="2173-04-16T22:15:00"/>
    <d v="2173-04-20T16:40:00"/>
    <m/>
    <s v="EW EMER."/>
    <s v="P23URY"/>
    <s v="EMERGENCY ROOM"/>
    <s v="HOME"/>
    <s v="Medicare"/>
    <s v="ENGLISH"/>
    <s v="WIDOWED"/>
    <s v="WHITE"/>
    <d v="2173-04-16T17:00:00"/>
    <d v="2173-04-16T23:18:00"/>
    <n v="0"/>
    <x v="0"/>
    <n v="53"/>
    <x v="1"/>
    <x v="119"/>
  </r>
  <r>
    <n v="10017492"/>
    <n v="27417763"/>
    <d v="2116-06-26T18:25:00"/>
    <d v="2116-07-05T08:05:00"/>
    <d v="2116-07-05T08:05:00"/>
    <s v="EW EMER."/>
    <s v="P3417E"/>
    <s v="EMERGENCY ROOM"/>
    <s v="DIED"/>
    <s v="Medicaid"/>
    <s v="?"/>
    <s v="SINGLE"/>
    <s v="PATIENT DECLINED TO ANSWER"/>
    <d v="2116-06-26T14:29:00"/>
    <d v="2116-06-26T21:46:00"/>
    <n v="1"/>
    <x v="0"/>
    <n v="84"/>
    <x v="2"/>
    <x v="35"/>
  </r>
  <r>
    <n v="10017492"/>
    <n v="27672872"/>
    <d v="2114-03-19T20:05:00"/>
    <d v="2114-04-02T18:30:00"/>
    <m/>
    <s v="EW EMER."/>
    <s v="P68RKH"/>
    <s v="EMERGENCY ROOM"/>
    <s v="HOME HEALTH CARE"/>
    <s v="Other"/>
    <s v="?"/>
    <s v="SINGLE"/>
    <s v="PATIENT DECLINED TO ANSWER"/>
    <d v="2114-03-19T15:57:00"/>
    <d v="2114-03-19T21:38:00"/>
    <n v="0"/>
    <x v="0"/>
    <n v="84"/>
    <x v="2"/>
    <x v="120"/>
  </r>
  <r>
    <n v="10038999"/>
    <n v="29026789"/>
    <d v="2132-05-17T23:32:00"/>
    <d v="2132-05-23T13:01:00"/>
    <m/>
    <s v="EW EMER."/>
    <s v="P64JOR"/>
    <s v="TRANSFER FROM HOSPITAL"/>
    <s v="REHAB"/>
    <s v="Medicare"/>
    <s v="ENGLISH"/>
    <s v="SINGLE"/>
    <s v="WHITE"/>
    <d v="2132-05-17T19:56:00"/>
    <d v="2132-05-18T01:36:00"/>
    <n v="0"/>
    <x v="0"/>
    <n v="45"/>
    <x v="0"/>
    <x v="121"/>
  </r>
  <r>
    <n v="10040025"/>
    <n v="25172300"/>
    <d v="2145-07-03T23:46:00"/>
    <d v="2145-07-05T13:57:00"/>
    <m/>
    <s v="EW EMER."/>
    <s v="P73Y1N"/>
    <s v="EMERGENCY ROOM"/>
    <s v="HOME"/>
    <s v="Other"/>
    <s v="ENGLISH"/>
    <s v="DIVORCED"/>
    <s v="WHITE"/>
    <d v="2145-07-03T20:02:00"/>
    <d v="2145-07-04T10:58:00"/>
    <n v="0"/>
    <x v="1"/>
    <n v="64"/>
    <x v="1"/>
    <x v="94"/>
  </r>
  <r>
    <n v="10040025"/>
    <n v="25384176"/>
    <d v="2145-10-19T23:48:00"/>
    <d v="2145-10-24T14:20:00"/>
    <m/>
    <s v="EW EMER."/>
    <s v="P1904G"/>
    <s v="EMERGENCY ROOM"/>
    <s v="HOME"/>
    <s v="Other"/>
    <s v="ENGLISH"/>
    <s v="DIVORCED"/>
    <s v="WHITE"/>
    <d v="2145-10-19T19:23:00"/>
    <d v="2145-10-20T00:54:00"/>
    <n v="0"/>
    <x v="1"/>
    <n v="64"/>
    <x v="1"/>
    <x v="118"/>
  </r>
  <r>
    <n v="10040025"/>
    <n v="27876215"/>
    <d v="2147-11-09T08:02:00"/>
    <d v="2147-11-14T18:53:00"/>
    <m/>
    <s v="EW EMER."/>
    <s v="P059D0"/>
    <s v="EMERGENCY ROOM"/>
    <s v="SKILLED NURSING FACILITY"/>
    <s v="Other"/>
    <s v="ENGLISH"/>
    <s v="DIVORCED"/>
    <s v="WHITE"/>
    <d v="2147-11-09T04:17:00"/>
    <d v="2147-11-09T10:56:00"/>
    <n v="0"/>
    <x v="1"/>
    <n v="64"/>
    <x v="1"/>
    <x v="122"/>
  </r>
  <r>
    <n v="10040025"/>
    <n v="27553957"/>
    <d v="2145-07-24T19:00:00"/>
    <d v="2145-07-31T14:12:00"/>
    <m/>
    <s v="EW EMER."/>
    <s v="P38RSS"/>
    <s v="EMERGENCY ROOM"/>
    <s v="HOME"/>
    <s v="Other"/>
    <s v="ENGLISH"/>
    <s v="DIVORCED"/>
    <s v="WHITE"/>
    <d v="2145-07-24T11:30:00"/>
    <d v="2145-07-24T20:32:00"/>
    <n v="0"/>
    <x v="1"/>
    <n v="64"/>
    <x v="1"/>
    <x v="14"/>
  </r>
  <r>
    <n v="10009049"/>
    <n v="22995465"/>
    <d v="2174-05-26T08:21:00"/>
    <d v="2174-05-31T14:15:00"/>
    <m/>
    <s v="EW EMER."/>
    <s v="P3529J"/>
    <s v="EMERGENCY ROOM"/>
    <s v="HOME"/>
    <s v="Other"/>
    <s v="ENGLISH"/>
    <s v="MARRIED"/>
    <s v="WHITE"/>
    <d v="2174-05-26T04:20:00"/>
    <d v="2174-05-26T09:18:00"/>
    <n v="0"/>
    <x v="0"/>
    <n v="56"/>
    <x v="1"/>
    <x v="123"/>
  </r>
  <r>
    <n v="10016742"/>
    <n v="29281842"/>
    <d v="2178-07-03T21:13:00"/>
    <d v="2178-07-08T20:20:00"/>
    <m/>
    <s v="EW EMER."/>
    <s v="P031HZ"/>
    <s v="EMERGENCY ROOM"/>
    <s v="SKILLED NURSING FACILITY"/>
    <s v="Medicaid"/>
    <s v="ENGLISH"/>
    <s v="SINGLE"/>
    <s v="BLACK/AFRICAN AMERICAN"/>
    <d v="2178-07-03T17:39:00"/>
    <d v="2178-07-03T22:45:00"/>
    <n v="0"/>
    <x v="1"/>
    <n v="58"/>
    <x v="1"/>
    <x v="124"/>
  </r>
  <r>
    <n v="10004457"/>
    <n v="28723315"/>
    <d v="2141-08-12T16:02:00"/>
    <d v="2141-08-13T17:47:00"/>
    <m/>
    <s v="EW EMER."/>
    <s v="P46WR5"/>
    <s v="EMERGENCY ROOM"/>
    <s v="HOME"/>
    <s v="Medicare"/>
    <s v="ENGLISH"/>
    <s v="SINGLE"/>
    <s v="WHITE"/>
    <d v="2141-08-12T12:08:00"/>
    <d v="2141-08-12T17:20:00"/>
    <n v="0"/>
    <x v="0"/>
    <n v="65"/>
    <x v="1"/>
    <x v="125"/>
  </r>
  <r>
    <n v="10029291"/>
    <n v="22205327"/>
    <d v="2123-02-20T01:59:00"/>
    <d v="2123-03-10T15:30:00"/>
    <m/>
    <s v="EW EMER."/>
    <s v="P44UQI"/>
    <s v="EMERGENCY ROOM"/>
    <s v="HOME HEALTH CARE"/>
    <s v="Medicare"/>
    <s v="ENGLISH"/>
    <s v="DIVORCED"/>
    <s v="WHITE"/>
    <d v="2123-02-19T23:57:00"/>
    <d v="2123-02-20T04:13:00"/>
    <n v="0"/>
    <x v="1"/>
    <n v="50"/>
    <x v="0"/>
    <x v="126"/>
  </r>
  <r>
    <n v="10004720"/>
    <n v="22081550"/>
    <d v="2186-11-12T18:01:00"/>
    <d v="2186-11-17T18:30:00"/>
    <d v="2186-11-17T18:30:00"/>
    <s v="EW EMER."/>
    <s v="P3529J"/>
    <s v="INFORMATION NOT AVAILABLE"/>
    <s v="DIED"/>
    <s v="Medicare"/>
    <s v="ENGLISH"/>
    <s v="SINGLE"/>
    <s v="WHITE"/>
    <d v="2186-11-12T16:09:00"/>
    <d v="2186-11-12T19:55:00"/>
    <n v="1"/>
    <x v="0"/>
    <n v="61"/>
    <x v="1"/>
    <x v="127"/>
  </r>
  <r>
    <n v="10019568"/>
    <n v="28710730"/>
    <d v="2120-01-30T21:07:00"/>
    <d v="2120-02-02T15:40:00"/>
    <m/>
    <s v="EW EMER."/>
    <s v="P80LEI"/>
    <s v="EMERGENCY ROOM"/>
    <s v="HOME"/>
    <s v="Medicare"/>
    <s v="ENGLISH"/>
    <s v="SINGLE"/>
    <s v="WHITE"/>
    <d v="2120-01-30T19:44:00"/>
    <d v="2120-01-30T22:51:00"/>
    <n v="0"/>
    <x v="1"/>
    <n v="59"/>
    <x v="1"/>
    <x v="128"/>
  </r>
  <r>
    <n v="10002930"/>
    <n v="25922998"/>
    <d v="2198-04-17T19:38:00"/>
    <d v="2198-04-22T16:02:00"/>
    <m/>
    <s v="EW EMER."/>
    <s v="P30KEH"/>
    <s v="EMERGENCY ROOM"/>
    <s v="PSYCH FACILITY"/>
    <s v="Medicare"/>
    <s v="ENGLISH"/>
    <s v="SINGLE"/>
    <s v="BLACK/AFRICAN AMERICAN"/>
    <d v="2198-04-17T11:42:00"/>
    <d v="2198-04-17T21:24:00"/>
    <n v="0"/>
    <x v="1"/>
    <n v="48"/>
    <x v="0"/>
    <x v="129"/>
  </r>
  <r>
    <n v="10002930"/>
    <n v="25696644"/>
    <d v="2196-04-14T12:25:00"/>
    <d v="2196-04-17T15:28:00"/>
    <m/>
    <s v="EW EMER."/>
    <s v="P43A1R"/>
    <s v="EMERGENCY ROOM"/>
    <s v="PSYCH FACILITY"/>
    <s v="Medicare"/>
    <s v="ENGLISH"/>
    <s v="SINGLE"/>
    <s v="BLACK/AFRICAN AMERICAN"/>
    <d v="2196-04-14T05:55:00"/>
    <d v="2196-04-14T13:40:00"/>
    <n v="0"/>
    <x v="1"/>
    <n v="48"/>
    <x v="0"/>
    <x v="130"/>
  </r>
  <r>
    <n v="10007795"/>
    <n v="22051341"/>
    <d v="2136-09-22T20:51:00"/>
    <d v="2136-09-24T14:20:00"/>
    <m/>
    <s v="EW EMER."/>
    <s v="P99LA7"/>
    <s v="EMERGENCY ROOM"/>
    <s v="HOME"/>
    <s v="Medicare"/>
    <s v="ENGLISH"/>
    <s v="SINGLE"/>
    <s v="WHITE"/>
    <d v="2136-09-22T17:07:00"/>
    <d v="2136-09-22T22:30:00"/>
    <n v="0"/>
    <x v="1"/>
    <n v="53"/>
    <x v="1"/>
    <x v="131"/>
  </r>
  <r>
    <n v="10007795"/>
    <n v="20285402"/>
    <d v="2136-08-04T22:16:00"/>
    <d v="2136-08-11T19:20:00"/>
    <m/>
    <s v="EW EMER."/>
    <s v="P74QAJ"/>
    <s v="EMERGENCY ROOM"/>
    <s v="HOME HEALTH CARE"/>
    <s v="Medicare"/>
    <s v="ENGLISH"/>
    <s v="SINGLE"/>
    <s v="WHITE"/>
    <d v="2136-08-04T16:26:00"/>
    <d v="2136-08-05T00:17:00"/>
    <n v="0"/>
    <x v="1"/>
    <n v="53"/>
    <x v="1"/>
    <x v="132"/>
  </r>
  <r>
    <n v="10010867"/>
    <n v="22429197"/>
    <d v="2147-12-30T08:40:00"/>
    <d v="2148-01-11T17:55:00"/>
    <m/>
    <s v="EW EMER."/>
    <s v="P3417E"/>
    <s v="EMERGENCY ROOM"/>
    <s v="REHAB"/>
    <s v="Other"/>
    <s v="ENGLISH"/>
    <s v="SINGLE"/>
    <s v="WHITE - BRAZILIAN"/>
    <d v="2147-12-30T06:45:00"/>
    <d v="2147-12-30T09:33:00"/>
    <n v="0"/>
    <x v="1"/>
    <n v="28"/>
    <x v="3"/>
    <x v="133"/>
  </r>
  <r>
    <n v="10025463"/>
    <n v="24470193"/>
    <d v="2137-10-08T21:20:00"/>
    <d v="2137-10-09T15:30:00"/>
    <d v="2137-10-09T15:30:00"/>
    <s v="EW EMER."/>
    <s v="P01LRQ"/>
    <s v="EMERGENCY ROOM"/>
    <s v="DIED"/>
    <s v="Other"/>
    <s v="ENGLISH"/>
    <s v="MARRIED"/>
    <s v="WHITE"/>
    <d v="2137-10-08T18:16:00"/>
    <d v="2137-10-08T20:44:00"/>
    <n v="1"/>
    <x v="0"/>
    <n v="66"/>
    <x v="1"/>
    <x v="134"/>
  </r>
  <r>
    <n v="10002428"/>
    <n v="28662225"/>
    <d v="2156-04-12T14:16:00"/>
    <d v="2156-04-29T16:26:00"/>
    <m/>
    <s v="EW EMER."/>
    <s v="P64TOH"/>
    <s v="EMERGENCY ROOM"/>
    <s v="SKILLED NURSING FACILITY"/>
    <s v="Medicare"/>
    <s v="ENGLISH"/>
    <s v="WIDOWED"/>
    <s v="WHITE"/>
    <d v="2156-04-12T09:56:00"/>
    <d v="2156-04-12T17:11:00"/>
    <n v="0"/>
    <x v="1"/>
    <n v="80"/>
    <x v="2"/>
    <x v="135"/>
  </r>
  <r>
    <n v="10002428"/>
    <n v="20321825"/>
    <d v="2156-04-30T20:35:00"/>
    <d v="2156-05-03T16:36:00"/>
    <m/>
    <s v="EW EMER."/>
    <s v="P825SO"/>
    <s v="EMERGENCY ROOM"/>
    <s v="CHRONIC/LONG TERM ACUTE CARE"/>
    <s v="Medicare"/>
    <s v="ENGLISH"/>
    <s v="WIDOWED"/>
    <s v="WHITE"/>
    <d v="2156-04-30T18:30:00"/>
    <d v="2156-04-30T21:53:00"/>
    <n v="0"/>
    <x v="1"/>
    <n v="80"/>
    <x v="2"/>
    <x v="136"/>
  </r>
  <r>
    <n v="10002428"/>
    <n v="23473524"/>
    <d v="2156-05-11T14:49:00"/>
    <d v="2156-05-22T14:16:00"/>
    <m/>
    <s v="EW EMER."/>
    <s v="P3529J"/>
    <s v="EMERGENCY ROOM"/>
    <s v="CHRONIC/LONG TERM ACUTE CARE"/>
    <s v="Medicare"/>
    <s v="ENGLISH"/>
    <s v="WIDOWED"/>
    <s v="WHITE"/>
    <d v="2156-05-11T11:29:00"/>
    <d v="2156-05-11T16:53:00"/>
    <n v="0"/>
    <x v="1"/>
    <n v="80"/>
    <x v="2"/>
    <x v="5"/>
  </r>
  <r>
    <n v="10007818"/>
    <n v="22987108"/>
    <d v="2146-06-10T16:37:00"/>
    <d v="2146-07-12T00:00:00"/>
    <d v="2146-07-12T20:50:00"/>
    <s v="DIRECT EMER."/>
    <s v="P48GIG"/>
    <s v="PHYSICIAN REFERRAL"/>
    <s v="DIED"/>
    <s v="Medicare"/>
    <s v="ENGLISH"/>
    <s v="MARRIED"/>
    <s v="WHITE"/>
    <m/>
    <m/>
    <n v="1"/>
    <x v="0"/>
    <n v="69"/>
    <x v="1"/>
    <x v="137"/>
  </r>
  <r>
    <n v="10004235"/>
    <n v="22187210"/>
    <d v="2196-06-20T21:11:00"/>
    <d v="2196-06-22T13:30:00"/>
    <m/>
    <s v="DIRECT EMER."/>
    <s v="P98TAU"/>
    <s v="PHYSICIAN REFERRAL"/>
    <s v="HOME HEALTH CARE"/>
    <s v="Medicaid"/>
    <s v="ENGLISH"/>
    <s v="SINGLE"/>
    <s v="BLACK/CAPE VERDEAN"/>
    <m/>
    <m/>
    <n v="0"/>
    <x v="0"/>
    <n v="47"/>
    <x v="0"/>
    <x v="138"/>
  </r>
  <r>
    <n v="10001217"/>
    <n v="27703517"/>
    <d v="2157-12-18T16:58:00"/>
    <d v="2157-12-24T14:55:00"/>
    <m/>
    <s v="DIRECT EMER."/>
    <s v="P99698"/>
    <s v="PHYSICIAN REFERRAL"/>
    <s v="HOME HEALTH CARE"/>
    <s v="Other"/>
    <s v="?"/>
    <s v="MARRIED"/>
    <s v="WHITE"/>
    <m/>
    <m/>
    <n v="0"/>
    <x v="1"/>
    <n v="55"/>
    <x v="1"/>
    <x v="139"/>
  </r>
  <r>
    <n v="10021487"/>
    <n v="27660781"/>
    <d v="2117-03-03T15:59:00"/>
    <d v="2117-03-27T16:40:00"/>
    <m/>
    <s v="DIRECT EMER."/>
    <s v="P82B0E"/>
    <s v="CLINIC REFERRAL"/>
    <s v="HOME"/>
    <s v="Other"/>
    <s v="ENGLISH"/>
    <s v="DIVORCED"/>
    <s v="WHITE"/>
    <m/>
    <m/>
    <n v="0"/>
    <x v="0"/>
    <n v="43"/>
    <x v="0"/>
    <x v="140"/>
  </r>
  <r>
    <n v="10015860"/>
    <n v="28613200"/>
    <d v="2188-03-29T14:14:00"/>
    <d v="2188-04-02T16:30:00"/>
    <m/>
    <s v="DIRECT EMER."/>
    <s v="P62A9I"/>
    <s v="CLINIC REFERRAL"/>
    <s v="HOME HEALTH CARE"/>
    <s v="Other"/>
    <s v="ENGLISH"/>
    <s v="SINGLE"/>
    <s v="WHITE"/>
    <m/>
    <m/>
    <n v="0"/>
    <x v="0"/>
    <n v="53"/>
    <x v="1"/>
    <x v="141"/>
  </r>
  <r>
    <n v="10031757"/>
    <n v="28477280"/>
    <d v="2137-10-12T22:43:00"/>
    <d v="2137-10-24T17:30:00"/>
    <m/>
    <s v="DIRECT EMER."/>
    <s v="P94RT6"/>
    <s v="CLINIC REFERRAL"/>
    <s v="HOSPICE"/>
    <s v="Other"/>
    <s v="ENGLISH"/>
    <s v="DIVORCED"/>
    <s v="WHITE"/>
    <m/>
    <m/>
    <n v="0"/>
    <x v="1"/>
    <n v="67"/>
    <x v="1"/>
    <x v="142"/>
  </r>
  <r>
    <n v="10014354"/>
    <n v="27562275"/>
    <d v="2148-07-18T02:31:00"/>
    <d v="2148-07-20T17:47:00"/>
    <m/>
    <s v="DIRECT EMER."/>
    <s v="P90LIK"/>
    <s v="PHYSICIAN REFERRAL"/>
    <s v="HOME HEALTH CARE"/>
    <s v="Other"/>
    <s v="ENGLISH"/>
    <s v="SINGLE"/>
    <s v="WHITE"/>
    <d v="2148-07-17T20:36:00"/>
    <d v="2148-07-18T04:46:00"/>
    <n v="0"/>
    <x v="0"/>
    <n v="60"/>
    <x v="1"/>
    <x v="143"/>
  </r>
  <r>
    <n v="10035631"/>
    <n v="27496788"/>
    <d v="2113-08-26T17:07:00"/>
    <d v="2113-08-29T15:18:00"/>
    <m/>
    <s v="DIRECT EMER."/>
    <s v="P45GUA"/>
    <s v="CLINIC REFERRAL"/>
    <s v="HOME"/>
    <s v="Other"/>
    <s v="ENGLISH"/>
    <s v="MARRIED"/>
    <s v="WHITE"/>
    <m/>
    <m/>
    <n v="0"/>
    <x v="0"/>
    <n v="63"/>
    <x v="1"/>
    <x v="49"/>
  </r>
  <r>
    <n v="10035631"/>
    <n v="29462354"/>
    <d v="2112-09-17T19:13:00"/>
    <d v="2112-10-17T01:41:00"/>
    <m/>
    <s v="DIRECT EMER."/>
    <s v="P45GUA"/>
    <s v="PHYSICIAN REFERRAL"/>
    <s v="HOME"/>
    <s v="Other"/>
    <s v="ENGLISH"/>
    <s v="MARRIED"/>
    <s v="UNKNOWN"/>
    <d v="2112-09-17T18:46:00"/>
    <d v="2112-09-17T19:50:00"/>
    <n v="0"/>
    <x v="0"/>
    <n v="63"/>
    <x v="1"/>
    <x v="5"/>
  </r>
  <r>
    <n v="10035631"/>
    <n v="22732862"/>
    <d v="2112-11-10T15:55:00"/>
    <d v="2112-11-20T16:20:00"/>
    <m/>
    <s v="DIRECT EMER."/>
    <s v="P11CH5"/>
    <s v="CLINIC REFERRAL"/>
    <s v="HOME"/>
    <s v="Other"/>
    <s v="ENGLISH"/>
    <s v="MARRIED"/>
    <s v="UNKNOWN"/>
    <m/>
    <m/>
    <n v="0"/>
    <x v="0"/>
    <n v="63"/>
    <x v="1"/>
    <x v="144"/>
  </r>
  <r>
    <n v="10035631"/>
    <n v="21599196"/>
    <d v="2116-02-13T11:17:00"/>
    <d v="2116-02-15T17:09:00"/>
    <m/>
    <s v="DIRECT EMER."/>
    <s v="P15Q8N"/>
    <s v="PHYSICIAN REFERRAL"/>
    <s v="HOME"/>
    <s v="Other"/>
    <s v="ENGLISH"/>
    <s v="MARRIED"/>
    <s v="WHITE"/>
    <m/>
    <m/>
    <n v="0"/>
    <x v="0"/>
    <n v="63"/>
    <x v="1"/>
    <x v="145"/>
  </r>
  <r>
    <n v="10019003"/>
    <n v="26529390"/>
    <d v="2155-05-17T00:02:00"/>
    <d v="2155-05-19T18:27:00"/>
    <m/>
    <s v="DIRECT EMER."/>
    <s v="P73PF1"/>
    <s v="PHYSICIAN REFERRAL"/>
    <s v="HOME"/>
    <s v="Other"/>
    <s v="ENGLISH"/>
    <s v="WIDOWED"/>
    <s v="WHITE"/>
    <d v="2155-05-17T21:03:00"/>
    <d v="2155-05-18T03:03:00"/>
    <n v="0"/>
    <x v="1"/>
    <n v="65"/>
    <x v="1"/>
    <x v="146"/>
  </r>
  <r>
    <n v="10023117"/>
    <n v="28887654"/>
    <d v="2174-12-16T13:25:00"/>
    <d v="2174-12-20T10:27:00"/>
    <m/>
    <s v="DIRECT EMER."/>
    <s v="P94CCF"/>
    <s v="PHYSICIAN REFERRAL"/>
    <s v="HOME"/>
    <s v="Medicare"/>
    <s v="ENGLISH"/>
    <s v="WIDOWED"/>
    <s v="WHITE"/>
    <m/>
    <m/>
    <n v="0"/>
    <x v="0"/>
    <n v="53"/>
    <x v="1"/>
    <x v="147"/>
  </r>
  <r>
    <n v="10002930"/>
    <n v="23688993"/>
    <d v="2193-08-05T11:45:00"/>
    <d v="2193-08-11T09:25:00"/>
    <m/>
    <s v="DIRECT EMER."/>
    <s v="P356OC"/>
    <s v="PHYSICIAN REFERRAL"/>
    <s v="HOME"/>
    <s v="Medicare"/>
    <s v="ENGLISH"/>
    <s v="SINGLE"/>
    <s v="BLACK/AFRICAN AMERICAN"/>
    <d v="2193-08-05T05:04:00"/>
    <d v="2193-08-05T12:00:00"/>
    <n v="0"/>
    <x v="1"/>
    <n v="48"/>
    <x v="0"/>
    <x v="31"/>
  </r>
  <r>
    <n v="10025463"/>
    <n v="27327816"/>
    <d v="2136-10-31T07:15:00"/>
    <d v="2136-11-02T16:50:00"/>
    <m/>
    <s v="DIRECT EMER."/>
    <s v="P38W5P"/>
    <s v="PHYSICIAN REFERRAL"/>
    <s v="HOME"/>
    <s v="Other"/>
    <s v="ENGLISH"/>
    <s v="MARRIED"/>
    <s v="WHITE"/>
    <m/>
    <m/>
    <n v="0"/>
    <x v="0"/>
    <n v="66"/>
    <x v="1"/>
    <x v="2"/>
  </r>
  <r>
    <n v="10023239"/>
    <n v="28984460"/>
    <d v="2140-10-22T22:04:00"/>
    <d v="2140-10-23T17:01:00"/>
    <m/>
    <s v="EU OBSERVATION"/>
    <s v="P76VMW"/>
    <s v="PHYSICIAN REFERRAL"/>
    <s v=""/>
    <s v="Other"/>
    <s v="ENGLISH"/>
    <s v="MARRIED"/>
    <s v="WHITE"/>
    <d v="2140-10-22T18:05:00"/>
    <d v="2140-10-23T17:01:00"/>
    <n v="0"/>
    <x v="1"/>
    <n v="29"/>
    <x v="3"/>
    <x v="148"/>
  </r>
  <r>
    <n v="10024043"/>
    <n v="25561728"/>
    <d v="2117-02-03T20:10:00"/>
    <d v="2117-02-04T11:53:00"/>
    <m/>
    <s v="EU OBSERVATION"/>
    <s v="P19QFH"/>
    <s v="EMERGENCY ROOM"/>
    <s v=""/>
    <s v="Medicare"/>
    <s v="ENGLISH"/>
    <s v="SINGLE"/>
    <s v="BLACK/AFRICAN AMERICAN"/>
    <d v="2117-02-03T17:13:00"/>
    <d v="2117-02-04T11:53:00"/>
    <n v="0"/>
    <x v="0"/>
    <n v="67"/>
    <x v="1"/>
    <x v="149"/>
  </r>
  <r>
    <n v="10015860"/>
    <n v="27670224"/>
    <d v="2187-12-14T15:48:00"/>
    <d v="2187-12-16T14:38:00"/>
    <m/>
    <s v="EU OBSERVATION"/>
    <s v="P25XDB"/>
    <s v="EMERGENCY ROOM"/>
    <s v=""/>
    <s v="Other"/>
    <s v="ENGLISH"/>
    <s v="SINGLE"/>
    <s v="WHITE"/>
    <d v="2187-12-14T12:49:00"/>
    <d v="2187-12-14T17:48:00"/>
    <n v="0"/>
    <x v="0"/>
    <n v="53"/>
    <x v="1"/>
    <x v="150"/>
  </r>
  <r>
    <n v="10015860"/>
    <n v="22607171"/>
    <d v="2190-05-15T08:16:00"/>
    <d v="2190-05-16T15:44:00"/>
    <m/>
    <s v="EU OBSERVATION"/>
    <s v="P73Y1N"/>
    <s v="EMERGENCY ROOM"/>
    <s v=""/>
    <s v="Other"/>
    <s v="ENGLISH"/>
    <s v="SINGLE"/>
    <s v="WHITE"/>
    <d v="2190-05-14T17:11:00"/>
    <d v="2190-05-15T10:00:00"/>
    <n v="0"/>
    <x v="0"/>
    <n v="53"/>
    <x v="1"/>
    <x v="45"/>
  </r>
  <r>
    <n v="10015860"/>
    <n v="22416954"/>
    <d v="2193-05-03T22:45:00"/>
    <d v="2193-05-05T02:13:00"/>
    <m/>
    <s v="EU OBSERVATION"/>
    <s v="P21E4S"/>
    <s v="TRANSFER FROM HOSPITAL"/>
    <s v=""/>
    <s v="Other"/>
    <s v="ENGLISH"/>
    <s v="SINGLE"/>
    <s v="WHITE"/>
    <d v="2193-05-03T19:12:00"/>
    <d v="2193-05-05T02:13:00"/>
    <n v="0"/>
    <x v="0"/>
    <n v="53"/>
    <x v="1"/>
    <x v="151"/>
  </r>
  <r>
    <n v="10020740"/>
    <n v="23143086"/>
    <d v="2151-01-15T15:25:00"/>
    <d v="2151-01-16T02:38:00"/>
    <m/>
    <s v="EU OBSERVATION"/>
    <s v="P607HY"/>
    <s v="EMERGENCY ROOM"/>
    <s v=""/>
    <s v="Other"/>
    <s v="ENGLISH"/>
    <s v="SINGLE"/>
    <s v="WHITE"/>
    <d v="2151-01-15T11:47:00"/>
    <d v="2151-01-16T02:38:00"/>
    <n v="0"/>
    <x v="0"/>
    <n v="56"/>
    <x v="1"/>
    <x v="152"/>
  </r>
  <r>
    <n v="10020740"/>
    <n v="23199774"/>
    <d v="2150-09-15T14:09:00"/>
    <d v="2150-09-15T17:09:00"/>
    <m/>
    <s v="EU OBSERVATION"/>
    <s v="P30KYN"/>
    <s v="EMERGENCY ROOM"/>
    <s v=""/>
    <s v="Other"/>
    <s v="ENGLISH"/>
    <s v="SINGLE"/>
    <s v="WHITE"/>
    <d v="2150-09-15T09:31:00"/>
    <d v="2150-09-15T17:09:00"/>
    <n v="0"/>
    <x v="0"/>
    <n v="56"/>
    <x v="1"/>
    <x v="153"/>
  </r>
  <r>
    <n v="10014354"/>
    <n v="24096336"/>
    <d v="2149-06-19T22:54:00"/>
    <d v="2149-06-20T13:48:00"/>
    <m/>
    <s v="EU OBSERVATION"/>
    <s v="P83K3D"/>
    <s v="PHYSICIAN REFERRAL"/>
    <s v=""/>
    <s v="Other"/>
    <s v="ENGLISH"/>
    <s v="SINGLE"/>
    <s v="WHITE"/>
    <d v="2149-06-19T17:01:00"/>
    <d v="2149-06-20T13:48:00"/>
    <n v="0"/>
    <x v="0"/>
    <n v="60"/>
    <x v="1"/>
    <x v="154"/>
  </r>
  <r>
    <n v="10014354"/>
    <n v="26722126"/>
    <d v="2146-11-09T01:53:00"/>
    <d v="2146-11-09T13:13:00"/>
    <m/>
    <s v="EU OBSERVATION"/>
    <s v="P187JB"/>
    <s v="EMERGENCY ROOM"/>
    <s v=""/>
    <s v="Other"/>
    <s v="ENGLISH"/>
    <s v="MARRIED"/>
    <s v="WHITE"/>
    <d v="2146-11-08T21:24:00"/>
    <d v="2146-11-09T13:13:00"/>
    <n v="0"/>
    <x v="0"/>
    <n v="60"/>
    <x v="1"/>
    <x v="15"/>
  </r>
  <r>
    <n v="10014354"/>
    <n v="20900955"/>
    <d v="2149-03-04T23:14:00"/>
    <d v="2149-03-05T14:59:00"/>
    <m/>
    <s v="EU OBSERVATION"/>
    <s v="P63AD6"/>
    <s v="WALK-IN/SELF REFERRAL"/>
    <s v=""/>
    <s v="Other"/>
    <s v="ENGLISH"/>
    <s v="SINGLE"/>
    <s v="WHITE"/>
    <d v="2149-03-04T20:24:00"/>
    <d v="2149-03-05T14:59:00"/>
    <n v="0"/>
    <x v="0"/>
    <n v="60"/>
    <x v="1"/>
    <x v="155"/>
  </r>
  <r>
    <n v="10014354"/>
    <n v="22502504"/>
    <d v="2147-09-12T05:06:00"/>
    <d v="2147-09-12T19:00:00"/>
    <m/>
    <s v="EU OBSERVATION"/>
    <s v="P04X8Y"/>
    <s v="EMERGENCY ROOM"/>
    <s v=""/>
    <s v="Other"/>
    <s v="ENGLISH"/>
    <s v="SINGLE"/>
    <s v="WHITE"/>
    <d v="2147-09-12T02:01:00"/>
    <d v="2147-09-12T06:37:00"/>
    <n v="0"/>
    <x v="0"/>
    <n v="60"/>
    <x v="1"/>
    <x v="156"/>
  </r>
  <r>
    <n v="10014354"/>
    <n v="26173805"/>
    <d v="2149-09-17T22:54:00"/>
    <d v="2149-09-18T10:45:00"/>
    <m/>
    <s v="EU OBSERVATION"/>
    <s v="P57NY9"/>
    <s v="WALK-IN/SELF REFERRAL"/>
    <s v=""/>
    <s v="Other"/>
    <s v="ENGLISH"/>
    <s v="SINGLE"/>
    <s v="WHITE"/>
    <d v="2149-09-17T09:08:00"/>
    <d v="2149-09-17T23:55:00"/>
    <n v="0"/>
    <x v="0"/>
    <n v="60"/>
    <x v="1"/>
    <x v="157"/>
  </r>
  <r>
    <n v="10014354"/>
    <n v="27494880"/>
    <d v="2147-06-04T00:42:00"/>
    <d v="2147-06-04T15:00:00"/>
    <m/>
    <s v="EU OBSERVATION"/>
    <s v="P79SJ2"/>
    <s v="EMERGENCY ROOM"/>
    <s v=""/>
    <s v="Other"/>
    <s v="ENGLISH"/>
    <s v="SINGLE"/>
    <s v="WHITE"/>
    <d v="2147-06-03T22:39:00"/>
    <d v="2147-06-04T09:54:00"/>
    <n v="0"/>
    <x v="0"/>
    <n v="60"/>
    <x v="1"/>
    <x v="155"/>
  </r>
  <r>
    <n v="10039708"/>
    <n v="27504040"/>
    <d v="2142-07-06T09:08:00"/>
    <d v="2142-07-07T16:40:00"/>
    <m/>
    <s v="EU OBSERVATION"/>
    <s v="P94RT6"/>
    <s v="PHYSICIAN REFERRAL"/>
    <s v=""/>
    <s v="Other"/>
    <s v="ENGLISH"/>
    <s v="SINGLE"/>
    <s v="BLACK/AFRICAN AMERICAN"/>
    <d v="2142-07-06T07:21:00"/>
    <d v="2142-07-06T08:27:00"/>
    <n v="0"/>
    <x v="1"/>
    <n v="46"/>
    <x v="0"/>
    <x v="17"/>
  </r>
  <r>
    <n v="10026406"/>
    <n v="25166559"/>
    <d v="2133-03-01T19:30:00"/>
    <d v="2133-03-04T17:05:00"/>
    <m/>
    <s v="EU OBSERVATION"/>
    <s v="P42K8Q"/>
    <s v="WALK-IN/SELF REFERRAL"/>
    <s v=""/>
    <s v="Other"/>
    <s v="ENGLISH"/>
    <s v="DIVORCED"/>
    <s v="WHITE"/>
    <d v="2133-03-01T16:42:00"/>
    <d v="2133-03-04T17:05:00"/>
    <n v="0"/>
    <x v="0"/>
    <n v="45"/>
    <x v="0"/>
    <x v="146"/>
  </r>
  <r>
    <n v="10037928"/>
    <n v="22228639"/>
    <d v="2183-08-04T04:04:00"/>
    <d v="2183-08-04T16:07:00"/>
    <m/>
    <s v="EU OBSERVATION"/>
    <s v="P850UN"/>
    <s v="PHYSICIAN REFERRAL"/>
    <s v=""/>
    <s v="Medicare"/>
    <s v="?"/>
    <s v="WIDOWED"/>
    <s v="HISPANIC/LATINO - CUBAN"/>
    <d v="2183-08-03T19:27:00"/>
    <d v="2183-08-04T16:07:00"/>
    <n v="0"/>
    <x v="1"/>
    <n v="78"/>
    <x v="2"/>
    <x v="158"/>
  </r>
  <r>
    <n v="10037928"/>
    <n v="28543425"/>
    <d v="2175-10-26T01:31:00"/>
    <d v="2175-10-26T12:48:00"/>
    <m/>
    <s v="EU OBSERVATION"/>
    <s v="P40IUG"/>
    <s v="EMERGENCY ROOM"/>
    <s v=""/>
    <s v="Medicare"/>
    <s v="?"/>
    <s v="SINGLE"/>
    <s v="HISPANIC OR LATINO"/>
    <d v="2175-10-25T19:55:00"/>
    <d v="2175-10-26T12:48:00"/>
    <n v="0"/>
    <x v="1"/>
    <n v="78"/>
    <x v="2"/>
    <x v="159"/>
  </r>
  <r>
    <n v="10012853"/>
    <n v="22896692"/>
    <d v="2176-08-11T15:17:00"/>
    <d v="2176-08-11T17:35:00"/>
    <m/>
    <s v="EU OBSERVATION"/>
    <s v="P76VMW"/>
    <s v="EMERGENCY ROOM"/>
    <s v=""/>
    <s v="Medicare"/>
    <s v="ENGLISH"/>
    <s v="WIDOWED"/>
    <s v="BLACK/AFRICAN AMERICAN"/>
    <d v="2176-08-11T08:36:00"/>
    <d v="2176-08-11T17:35:00"/>
    <n v="0"/>
    <x v="1"/>
    <n v="91"/>
    <x v="2"/>
    <x v="160"/>
  </r>
  <r>
    <n v="10039997"/>
    <n v="21390688"/>
    <d v="2135-11-07T02:42:00"/>
    <d v="2135-11-07T06:27:00"/>
    <m/>
    <s v="EU OBSERVATION"/>
    <s v="P03N1K"/>
    <s v="EMERGENCY ROOM"/>
    <s v=""/>
    <s v="Medicare"/>
    <s v="ENGLISH"/>
    <s v="WIDOWED"/>
    <s v="BLACK/AFRICAN AMERICAN"/>
    <d v="2135-11-06T21:44:00"/>
    <d v="2135-11-07T06:27:00"/>
    <n v="0"/>
    <x v="1"/>
    <n v="67"/>
    <x v="1"/>
    <x v="36"/>
  </r>
  <r>
    <n v="10020306"/>
    <n v="26332470"/>
    <d v="2133-05-05T05:43:00"/>
    <d v="2133-05-05T15:37:00"/>
    <m/>
    <s v="EU OBSERVATION"/>
    <s v="P45LON"/>
    <s v="CLINIC REFERRAL"/>
    <s v=""/>
    <s v="Medicare"/>
    <s v="ENGLISH"/>
    <s v="WIDOWED"/>
    <s v="BLACK/AFRICAN AMERICAN"/>
    <d v="2133-05-04T20:52:00"/>
    <d v="2133-05-05T15:37:00"/>
    <n v="0"/>
    <x v="1"/>
    <n v="74"/>
    <x v="2"/>
    <x v="47"/>
  </r>
  <r>
    <n v="10002930"/>
    <n v="25282382"/>
    <d v="2197-04-17T02:01:00"/>
    <d v="2197-04-17T09:48:00"/>
    <m/>
    <s v="EU OBSERVATION"/>
    <s v="P33NK4"/>
    <s v="EMERGENCY ROOM"/>
    <s v=""/>
    <s v="Medicare"/>
    <s v="ENGLISH"/>
    <s v="SINGLE"/>
    <s v="BLACK/AFRICAN AMERICAN"/>
    <d v="2197-04-16T22:57:00"/>
    <d v="2197-04-17T09:48:00"/>
    <n v="0"/>
    <x v="1"/>
    <n v="48"/>
    <x v="0"/>
    <x v="161"/>
  </r>
  <r>
    <n v="10002930"/>
    <n v="28697806"/>
    <d v="2200-06-05T05:43:00"/>
    <d v="2200-06-05T10:26:00"/>
    <m/>
    <s v="EU OBSERVATION"/>
    <s v="P68U3G"/>
    <s v="PHYSICIAN REFERRAL"/>
    <s v=""/>
    <s v="Medicare"/>
    <s v="ENGLISH"/>
    <s v="SINGLE"/>
    <s v="BLACK/AFRICAN AMERICAN"/>
    <d v="2200-06-04T16:38:00"/>
    <d v="2200-06-05T10:26:00"/>
    <n v="0"/>
    <x v="1"/>
    <n v="48"/>
    <x v="0"/>
    <x v="162"/>
  </r>
  <r>
    <n v="10002930"/>
    <n v="20846853"/>
    <d v="2201-02-12T16:58:00"/>
    <d v="2201-02-13T11:11:00"/>
    <m/>
    <s v="EU OBSERVATION"/>
    <s v="P2358X"/>
    <s v="PHYSICIAN REFERRAL"/>
    <s v=""/>
    <s v="Medicare"/>
    <s v="ENGLISH"/>
    <s v="SINGLE"/>
    <s v="BLACK/AFRICAN AMERICAN"/>
    <d v="2201-02-12T15:11:00"/>
    <d v="2201-02-13T11:11:00"/>
    <n v="0"/>
    <x v="1"/>
    <n v="48"/>
    <x v="0"/>
    <x v="32"/>
  </r>
  <r>
    <n v="10002930"/>
    <n v="22380825"/>
    <d v="2193-08-05T06:18:00"/>
    <d v="2193-08-05T11:44:00"/>
    <m/>
    <s v="EU OBSERVATION"/>
    <s v="P38XXV"/>
    <s v="EMERGENCY ROOM"/>
    <s v=""/>
    <s v="Medicare"/>
    <s v="ENGLISH"/>
    <s v="SINGLE"/>
    <s v="BLACK/AFRICAN AMERICAN"/>
    <d v="2193-08-05T05:04:00"/>
    <d v="2193-08-05T12:00:00"/>
    <n v="0"/>
    <x v="1"/>
    <n v="48"/>
    <x v="0"/>
    <x v="161"/>
  </r>
  <r>
    <n v="10002930"/>
    <n v="23720373"/>
    <d v="2199-02-17T21:45:00"/>
    <d v="2199-02-19T13:38:00"/>
    <m/>
    <s v="EU OBSERVATION"/>
    <s v="P59HPG"/>
    <s v="EMERGENCY ROOM"/>
    <s v=""/>
    <s v="Medicare"/>
    <s v="ENGLISH"/>
    <s v="SINGLE"/>
    <s v="BLACK/AFRICAN AMERICAN"/>
    <d v="2199-02-17T14:32:00"/>
    <d v="2199-02-19T13:38:00"/>
    <n v="0"/>
    <x v="1"/>
    <n v="48"/>
    <x v="0"/>
    <x v="163"/>
  </r>
  <r>
    <n v="10002930"/>
    <n v="20282368"/>
    <d v="2201-03-23T19:15:00"/>
    <d v="2201-03-26T14:24:00"/>
    <m/>
    <s v="EU OBSERVATION"/>
    <s v="P850UN"/>
    <s v="PHYSICIAN REFERRAL"/>
    <s v=""/>
    <s v="Medicare"/>
    <s v="ENGLISH"/>
    <s v="SINGLE"/>
    <s v="BLACK/AFRICAN AMERICAN"/>
    <d v="2201-03-23T12:04:00"/>
    <d v="2201-03-26T14:24:00"/>
    <n v="0"/>
    <x v="1"/>
    <n v="48"/>
    <x v="0"/>
    <x v="164"/>
  </r>
  <r>
    <n v="10002930"/>
    <n v="28477649"/>
    <d v="2197-04-07T06:56:00"/>
    <d v="2197-04-08T19:37:00"/>
    <m/>
    <s v="EU OBSERVATION"/>
    <s v="P11RCJ"/>
    <s v="EMERGENCY ROOM"/>
    <s v=""/>
    <s v="Medicare"/>
    <s v="ENGLISH"/>
    <s v="SINGLE"/>
    <s v="BLACK/AFRICAN AMERICAN"/>
    <d v="2197-04-07T03:20:00"/>
    <d v="2197-04-08T20:14:00"/>
    <n v="0"/>
    <x v="1"/>
    <n v="48"/>
    <x v="0"/>
    <x v="165"/>
  </r>
  <r>
    <n v="10002428"/>
    <n v="28676446"/>
    <d v="2157-07-16T04:09:00"/>
    <d v="2157-07-18T16:49:00"/>
    <m/>
    <s v="EU OBSERVATION"/>
    <s v="P08S8F"/>
    <s v="EMERGENCY ROOM"/>
    <s v=""/>
    <s v="Medicare"/>
    <s v="ENGLISH"/>
    <s v="WIDOWED"/>
    <s v="WHITE"/>
    <d v="2157-07-16T01:50:00"/>
    <d v="2157-07-16T09:51:00"/>
    <n v="0"/>
    <x v="1"/>
    <n v="80"/>
    <x v="2"/>
    <x v="136"/>
  </r>
  <r>
    <n v="10002428"/>
    <n v="25797028"/>
    <d v="2155-07-14T19:15:00"/>
    <d v="2155-07-15T18:37:00"/>
    <m/>
    <s v="EU OBSERVATION"/>
    <s v="P64TOH"/>
    <s v="EMERGENCY ROOM"/>
    <s v=""/>
    <s v="Medicare"/>
    <s v="ENGLISH"/>
    <s v="WIDOWED"/>
    <s v="WHITE"/>
    <d v="2155-07-14T16:58:00"/>
    <d v="2155-07-14T20:04:00"/>
    <n v="0"/>
    <x v="1"/>
    <n v="80"/>
    <x v="2"/>
    <x v="66"/>
  </r>
  <r>
    <n v="10002428"/>
    <n v="26549334"/>
    <d v="2160-07-15T23:37:00"/>
    <d v="2160-07-16T18:49:00"/>
    <m/>
    <s v="EU OBSERVATION"/>
    <s v="P607HY"/>
    <s v="EMERGENCY ROOM"/>
    <s v=""/>
    <s v="Medicare"/>
    <s v="ENGLISH"/>
    <s v="WIDOWED"/>
    <s v="WHITE"/>
    <d v="2160-07-15T17:34:00"/>
    <d v="2160-07-16T18:49:00"/>
    <n v="0"/>
    <x v="1"/>
    <n v="80"/>
    <x v="2"/>
    <x v="166"/>
  </r>
  <r>
    <n v="10018328"/>
    <n v="26706939"/>
    <d v="2154-02-05T21:58:00"/>
    <d v="2154-02-09T15:15:00"/>
    <m/>
    <s v="OBSERVATION ADMIT"/>
    <s v="P233F6"/>
    <s v="TRANSFER FROM HOSPITAL"/>
    <s v="HOME HEALTH CARE"/>
    <s v="Other"/>
    <s v="ENGLISH"/>
    <s v="DIVORCED"/>
    <s v="WHITE"/>
    <d v="2154-02-05T17:09:00"/>
    <d v="2154-02-05T22:54:00"/>
    <n v="0"/>
    <x v="1"/>
    <n v="83"/>
    <x v="2"/>
    <x v="167"/>
  </r>
  <r>
    <n v="10005817"/>
    <n v="28661809"/>
    <d v="2135-01-03T21:54:00"/>
    <d v="2135-01-19T18:36:00"/>
    <d v="2135-01-19T18:36:00"/>
    <s v="OBSERVATION ADMIT"/>
    <s v="P7554I"/>
    <s v="TRANSFER FROM HOSPITAL"/>
    <s v="DIED"/>
    <s v="Medicare"/>
    <s v="ENGLISH"/>
    <s v="MARRIED"/>
    <s v="WHITE"/>
    <m/>
    <m/>
    <n v="1"/>
    <x v="0"/>
    <n v="66"/>
    <x v="1"/>
    <x v="168"/>
  </r>
  <r>
    <n v="10019385"/>
    <n v="20611796"/>
    <d v="2180-03-04T01:16:00"/>
    <d v="2180-03-06T18:32:00"/>
    <m/>
    <s v="OBSERVATION ADMIT"/>
    <s v="P95P90"/>
    <s v="EMERGENCY ROOM"/>
    <s v="HOME HEALTH CARE"/>
    <s v="Other"/>
    <s v="ENGLISH"/>
    <s v="MARRIED"/>
    <s v="WHITE"/>
    <d v="2180-03-03T20:26:00"/>
    <d v="2180-03-04T02:24:00"/>
    <n v="0"/>
    <x v="0"/>
    <n v="44"/>
    <x v="0"/>
    <x v="169"/>
  </r>
  <r>
    <n v="10020187"/>
    <n v="24104168"/>
    <d v="2169-01-15T04:04:00"/>
    <d v="2169-01-24T17:20:00"/>
    <m/>
    <s v="OBSERVATION ADMIT"/>
    <s v="P898NM"/>
    <s v="EMERGENCY ROOM"/>
    <s v="HOME HEALTH CARE"/>
    <s v="Other"/>
    <s v="?"/>
    <s v="MARRIED"/>
    <s v="HISPANIC/LATINO - SALVADORAN"/>
    <d v="2169-01-14T23:26:00"/>
    <d v="2169-01-15T04:56:00"/>
    <n v="0"/>
    <x v="1"/>
    <n v="63"/>
    <x v="1"/>
    <x v="170"/>
  </r>
  <r>
    <n v="10010471"/>
    <n v="21322534"/>
    <d v="2155-05-08T17:05:00"/>
    <d v="2155-05-10T18:55:00"/>
    <m/>
    <s v="OBSERVATION ADMIT"/>
    <s v="P89T1L"/>
    <s v="EMERGENCY ROOM"/>
    <s v="HOME"/>
    <s v="Medicare"/>
    <s v="ENGLISH"/>
    <s v="WIDOWED"/>
    <s v="WHITE"/>
    <d v="2155-05-08T13:48:00"/>
    <d v="2155-05-08T18:16:00"/>
    <n v="0"/>
    <x v="1"/>
    <n v="89"/>
    <x v="2"/>
    <x v="171"/>
  </r>
  <r>
    <n v="10005866"/>
    <n v="22589518"/>
    <d v="2149-02-11T21:49:00"/>
    <d v="2149-02-14T16:45:00"/>
    <m/>
    <s v="OBSERVATION ADMIT"/>
    <s v="P874LG"/>
    <s v="EMERGENCY ROOM"/>
    <s v="HOME"/>
    <s v="Medicaid"/>
    <s v="ENGLISH"/>
    <s v="SINGLE"/>
    <s v="PORTUGUESE"/>
    <d v="2149-02-11T08:52:00"/>
    <d v="2149-02-11T23:09:00"/>
    <n v="0"/>
    <x v="0"/>
    <n v="57"/>
    <x v="1"/>
    <x v="172"/>
  </r>
  <r>
    <n v="10005866"/>
    <n v="21636229"/>
    <d v="2149-09-20T14:30:00"/>
    <d v="2149-09-26T15:05:00"/>
    <m/>
    <s v="OBSERVATION ADMIT"/>
    <s v="P96Y5O"/>
    <s v="EMERGENCY ROOM"/>
    <s v="HOME"/>
    <s v="Medicaid"/>
    <s v="ENGLISH"/>
    <s v="SINGLE"/>
    <s v="PORTUGUESE"/>
    <d v="2149-09-20T05:50:00"/>
    <d v="2149-09-20T15:53:00"/>
    <n v="0"/>
    <x v="0"/>
    <n v="57"/>
    <x v="1"/>
    <x v="173"/>
  </r>
  <r>
    <n v="10005866"/>
    <n v="23514107"/>
    <d v="2149-06-20T19:27:00"/>
    <d v="2149-06-25T15:55:00"/>
    <m/>
    <s v="OBSERVATION ADMIT"/>
    <s v="P28OI9"/>
    <s v="EMERGENCY ROOM"/>
    <s v="HOME"/>
    <s v="Medicaid"/>
    <s v="ENGLISH"/>
    <s v="SINGLE"/>
    <s v="PORTUGUESE"/>
    <d v="2149-06-20T10:20:00"/>
    <d v="2149-06-20T20:59:00"/>
    <n v="0"/>
    <x v="0"/>
    <n v="57"/>
    <x v="1"/>
    <x v="174"/>
  </r>
  <r>
    <n v="10005866"/>
    <n v="20364112"/>
    <d v="2149-10-01T18:56:00"/>
    <d v="2149-10-25T18:50:00"/>
    <m/>
    <s v="OBSERVATION ADMIT"/>
    <s v="P94RT6"/>
    <s v="PHYSICIAN REFERRAL"/>
    <s v="SKILLED NURSING FACILITY"/>
    <s v="Medicaid"/>
    <s v="ENGLISH"/>
    <s v="SINGLE"/>
    <s v="PORTUGUESE"/>
    <d v="2149-10-01T02:07:00"/>
    <d v="2149-10-01T15:59:00"/>
    <n v="0"/>
    <x v="0"/>
    <n v="57"/>
    <x v="1"/>
    <x v="174"/>
  </r>
  <r>
    <n v="10015860"/>
    <n v="25103777"/>
    <d v="2192-07-31T16:05:00"/>
    <d v="2192-08-06T16:37:00"/>
    <m/>
    <s v="OBSERVATION ADMIT"/>
    <s v="P104SU"/>
    <s v="TRANSFER FROM SKILLED NURSING FACILITY"/>
    <s v="SKILLED NURSING FACILITY"/>
    <s v="Other"/>
    <s v="ENGLISH"/>
    <s v="SINGLE"/>
    <s v="WHITE"/>
    <d v="2192-07-31T11:00:00"/>
    <d v="2192-07-31T17:10:00"/>
    <n v="0"/>
    <x v="0"/>
    <n v="53"/>
    <x v="1"/>
    <x v="175"/>
  </r>
  <r>
    <n v="10015860"/>
    <n v="22413744"/>
    <d v="2191-01-15T01:55:00"/>
    <d v="2191-01-30T17:09:00"/>
    <m/>
    <s v="OBSERVATION ADMIT"/>
    <s v="P172D4"/>
    <s v="EMERGENCY ROOM"/>
    <s v="SKILLED NURSING FACILITY"/>
    <s v="Other"/>
    <s v="ENGLISH"/>
    <s v="SINGLE"/>
    <s v="WHITE"/>
    <d v="2191-01-14T21:18:00"/>
    <d v="2191-01-15T03:20:00"/>
    <n v="0"/>
    <x v="0"/>
    <n v="53"/>
    <x v="1"/>
    <x v="176"/>
  </r>
  <r>
    <n v="10015860"/>
    <n v="28196804"/>
    <d v="2193-11-23T19:15:00"/>
    <d v="2193-11-27T21:58:00"/>
    <m/>
    <s v="OBSERVATION ADMIT"/>
    <s v="P54UVQ"/>
    <s v="WALK-IN/SELF REFERRAL"/>
    <s v="SKILLED NURSING FACILITY"/>
    <s v="Other"/>
    <s v="ENGLISH"/>
    <s v="SINGLE"/>
    <s v="WHITE"/>
    <d v="2193-11-23T12:38:00"/>
    <d v="2193-11-23T20:59:00"/>
    <n v="0"/>
    <x v="0"/>
    <n v="53"/>
    <x v="1"/>
    <x v="177"/>
  </r>
  <r>
    <n v="10014354"/>
    <n v="22508257"/>
    <d v="2148-05-10T23:29:00"/>
    <d v="2148-05-20T14:30:00"/>
    <m/>
    <s v="OBSERVATION ADMIT"/>
    <s v="P57B0F"/>
    <s v="EMERGENCY ROOM"/>
    <s v="HOME HEALTH CARE"/>
    <s v="Other"/>
    <s v="ENGLISH"/>
    <s v="SINGLE"/>
    <s v="WHITE"/>
    <d v="2148-05-10T20:25:00"/>
    <d v="2148-05-11T01:22:00"/>
    <n v="0"/>
    <x v="0"/>
    <n v="60"/>
    <x v="1"/>
    <x v="178"/>
  </r>
  <r>
    <n v="10014354"/>
    <n v="29600294"/>
    <d v="2148-08-14T22:57:00"/>
    <d v="2148-08-18T21:12:00"/>
    <m/>
    <s v="OBSERVATION ADMIT"/>
    <s v="P723L9"/>
    <s v="PHYSICIAN REFERRAL"/>
    <s v="AGAINST ADVICE"/>
    <s v="Other"/>
    <s v="ENGLISH"/>
    <s v="SINGLE"/>
    <s v="WHITE"/>
    <d v="2148-08-14T16:32:00"/>
    <d v="2148-08-15T00:27:00"/>
    <n v="0"/>
    <x v="0"/>
    <n v="60"/>
    <x v="1"/>
    <x v="16"/>
  </r>
  <r>
    <n v="10014354"/>
    <n v="26228185"/>
    <d v="2150-04-30T20:19:00"/>
    <d v="2150-05-07T14:10:00"/>
    <m/>
    <s v="OBSERVATION ADMIT"/>
    <s v="P17YHV"/>
    <s v="TRANSFER FROM HOSPITAL"/>
    <s v="HOME HEALTH CARE"/>
    <s v="Other"/>
    <s v="ENGLISH"/>
    <s v="SINGLE"/>
    <s v="WHITE"/>
    <d v="2150-04-30T14:26:00"/>
    <d v="2150-04-30T21:54:00"/>
    <n v="0"/>
    <x v="0"/>
    <n v="60"/>
    <x v="1"/>
    <x v="11"/>
  </r>
  <r>
    <n v="10014354"/>
    <n v="24980601"/>
    <d v="2150-02-04T20:12:00"/>
    <d v="2150-02-08T14:10:00"/>
    <m/>
    <s v="OBSERVATION ADMIT"/>
    <s v="P42VJP"/>
    <s v="PHYSICIAN REFERRAL"/>
    <s v="AGAINST ADVICE"/>
    <s v="Other"/>
    <s v="ENGLISH"/>
    <s v="SINGLE"/>
    <s v="WHITE"/>
    <d v="2150-02-04T14:50:00"/>
    <d v="2150-02-04T22:44:00"/>
    <n v="0"/>
    <x v="0"/>
    <n v="60"/>
    <x v="1"/>
    <x v="179"/>
  </r>
  <r>
    <n v="10014354"/>
    <n v="26486158"/>
    <d v="2148-08-22T15:18:00"/>
    <d v="2148-09-08T12:00:00"/>
    <m/>
    <s v="OBSERVATION ADMIT"/>
    <s v="P17YHV"/>
    <s v="CLINIC REFERRAL"/>
    <s v="HOME HEALTH CARE"/>
    <s v="Other"/>
    <s v="ENGLISH"/>
    <s v="SINGLE"/>
    <s v="WHITE"/>
    <m/>
    <m/>
    <n v="0"/>
    <x v="0"/>
    <n v="60"/>
    <x v="1"/>
    <x v="180"/>
  </r>
  <r>
    <n v="10014354"/>
    <n v="29780751"/>
    <d v="2147-11-26T00:39:00"/>
    <d v="2147-11-30T16:54:00"/>
    <m/>
    <s v="OBSERVATION ADMIT"/>
    <s v="P21X87"/>
    <s v="EMERGENCY ROOM"/>
    <s v="HOME HEALTH CARE"/>
    <s v="Other"/>
    <s v="ENGLISH"/>
    <s v="SINGLE"/>
    <s v="WHITE"/>
    <d v="2147-11-25T19:39:00"/>
    <d v="2147-11-26T01:30:00"/>
    <n v="0"/>
    <x v="0"/>
    <n v="60"/>
    <x v="1"/>
    <x v="181"/>
  </r>
  <r>
    <n v="10014354"/>
    <n v="23132022"/>
    <d v="2148-06-24T15:22:00"/>
    <d v="2148-06-28T13:54:00"/>
    <m/>
    <s v="OBSERVATION ADMIT"/>
    <s v="P259GB"/>
    <s v="PHYSICIAN REFERRAL"/>
    <s v="HOME"/>
    <s v="Other"/>
    <s v="ENGLISH"/>
    <s v="SINGLE"/>
    <s v="WHITE"/>
    <d v="2148-06-24T09:22:00"/>
    <d v="2148-06-24T16:12:00"/>
    <n v="0"/>
    <x v="0"/>
    <n v="60"/>
    <x v="1"/>
    <x v="182"/>
  </r>
  <r>
    <n v="10005909"/>
    <n v="20199380"/>
    <d v="2144-10-28T23:20:00"/>
    <d v="2144-11-02T15:23:00"/>
    <m/>
    <s v="OBSERVATION ADMIT"/>
    <s v="P43BTJ"/>
    <s v="EMERGENCY ROOM"/>
    <s v="HOME"/>
    <s v="Other"/>
    <s v="ENGLISH"/>
    <s v="MARRIED"/>
    <s v="WHITE"/>
    <d v="2144-10-28T18:29:00"/>
    <d v="2144-10-29T00:10:00"/>
    <n v="0"/>
    <x v="1"/>
    <n v="40"/>
    <x v="0"/>
    <x v="183"/>
  </r>
  <r>
    <n v="10039708"/>
    <n v="26793610"/>
    <d v="2140-09-25T04:17:00"/>
    <d v="2140-09-26T17:40:00"/>
    <m/>
    <s v="OBSERVATION ADMIT"/>
    <s v="P91LM4"/>
    <s v="EMERGENCY ROOM"/>
    <s v="HOME"/>
    <s v="Other"/>
    <s v="ENGLISH"/>
    <s v="SINGLE"/>
    <s v="BLACK/AFRICAN AMERICAN"/>
    <d v="2140-09-24T21:17:00"/>
    <d v="2140-09-25T05:57:00"/>
    <n v="0"/>
    <x v="1"/>
    <n v="46"/>
    <x v="0"/>
    <x v="64"/>
  </r>
  <r>
    <n v="10039708"/>
    <n v="29488258"/>
    <d v="2144-01-19T12:07:00"/>
    <d v="2144-01-21T21:20:00"/>
    <m/>
    <s v="OBSERVATION ADMIT"/>
    <s v="P8785Z"/>
    <s v="WALK-IN/SELF REFERRAL"/>
    <s v="HOME"/>
    <s v="Other"/>
    <s v="ENGLISH"/>
    <s v="SINGLE"/>
    <s v="BLACK/AFRICAN AMERICAN"/>
    <d v="2144-01-18T11:53:00"/>
    <d v="2144-01-19T13:59:00"/>
    <n v="0"/>
    <x v="1"/>
    <n v="46"/>
    <x v="0"/>
    <x v="184"/>
  </r>
  <r>
    <n v="10039708"/>
    <n v="24928679"/>
    <d v="2143-09-19T18:36:00"/>
    <d v="2143-09-22T23:00:00"/>
    <m/>
    <s v="OBSERVATION ADMIT"/>
    <s v="P8785Z"/>
    <s v="CLINIC REFERRAL"/>
    <s v="HOME HEALTH CARE"/>
    <s v="Other"/>
    <s v="ENGLISH"/>
    <s v="SINGLE"/>
    <s v="BLACK/AFRICAN AMERICAN"/>
    <d v="2143-09-19T10:57:00"/>
    <d v="2143-09-19T20:57:00"/>
    <n v="0"/>
    <x v="1"/>
    <n v="46"/>
    <x v="0"/>
    <x v="185"/>
  </r>
  <r>
    <n v="10039708"/>
    <n v="23819016"/>
    <d v="2140-06-18T00:22:00"/>
    <d v="2140-06-22T17:40:00"/>
    <m/>
    <s v="OBSERVATION ADMIT"/>
    <s v="P48KFD"/>
    <s v="EMERGENCY ROOM"/>
    <s v="HOME"/>
    <s v="Other"/>
    <s v="ENGLISH"/>
    <s v="SINGLE"/>
    <s v="BLACK/AFRICAN AMERICAN"/>
    <d v="2140-06-17T17:47:00"/>
    <d v="2140-06-18T01:41:00"/>
    <n v="0"/>
    <x v="1"/>
    <n v="46"/>
    <x v="0"/>
    <x v="186"/>
  </r>
  <r>
    <n v="10039708"/>
    <n v="20093566"/>
    <d v="2143-09-26T18:24:00"/>
    <d v="2143-09-30T20:00:00"/>
    <m/>
    <s v="OBSERVATION ADMIT"/>
    <s v="P04ZFH"/>
    <s v="CLINIC REFERRAL"/>
    <s v="HOME HEALTH CARE"/>
    <s v="Other"/>
    <s v="ENGLISH"/>
    <s v="SINGLE"/>
    <s v="BLACK/AFRICAN AMERICAN"/>
    <d v="2143-09-26T08:16:00"/>
    <d v="2143-09-26T19:52:00"/>
    <n v="0"/>
    <x v="1"/>
    <n v="46"/>
    <x v="0"/>
    <x v="187"/>
  </r>
  <r>
    <n v="10037928"/>
    <n v="24885579"/>
    <d v="2182-04-29T04:29:00"/>
    <d v="2182-05-03T17:20:00"/>
    <m/>
    <s v="OBSERVATION ADMIT"/>
    <s v="P3417E"/>
    <s v="WALK-IN/SELF REFERRAL"/>
    <s v="HOME"/>
    <s v="Medicare"/>
    <s v="?"/>
    <s v="WIDOWED"/>
    <s v="HISPANIC/LATINO - CUBAN"/>
    <d v="2182-04-28T17:25:00"/>
    <d v="2182-04-29T07:49:00"/>
    <n v="0"/>
    <x v="1"/>
    <n v="78"/>
    <x v="2"/>
    <x v="188"/>
  </r>
  <r>
    <n v="10035631"/>
    <n v="21476294"/>
    <d v="2115-11-08T13:54:00"/>
    <d v="2115-12-08T17:31:00"/>
    <m/>
    <s v="OBSERVATION ADMIT"/>
    <s v="P45GUA"/>
    <s v="EMERGENCY ROOM"/>
    <s v="HOME"/>
    <s v="Other"/>
    <s v="ENGLISH"/>
    <s v="MARRIED"/>
    <s v="WHITE"/>
    <d v="2115-11-08T12:02:00"/>
    <d v="2115-11-08T15:43:00"/>
    <n v="0"/>
    <x v="0"/>
    <n v="63"/>
    <x v="1"/>
    <x v="189"/>
  </r>
  <r>
    <n v="10035631"/>
    <n v="29276678"/>
    <d v="2116-02-27T20:55:00"/>
    <d v="2116-03-12T07:45:00"/>
    <d v="2116-03-12T07:45:00"/>
    <s v="OBSERVATION ADMIT"/>
    <s v="P17YHV"/>
    <s v="EMERGENCY ROOM"/>
    <s v="DIED"/>
    <s v="Other"/>
    <s v="ENGLISH"/>
    <s v="MARRIED"/>
    <s v="WHITE"/>
    <d v="2116-02-27T15:33:00"/>
    <d v="2116-02-27T22:03:00"/>
    <n v="1"/>
    <x v="0"/>
    <n v="63"/>
    <x v="1"/>
    <x v="190"/>
  </r>
  <r>
    <n v="10015931"/>
    <n v="24420677"/>
    <d v="2176-12-16T23:31:00"/>
    <d v="2176-12-31T17:35:00"/>
    <m/>
    <s v="OBSERVATION ADMIT"/>
    <s v="P49NLZ"/>
    <s v="EMERGENCY ROOM"/>
    <s v="HOME HEALTH CARE"/>
    <s v="Medicare"/>
    <s v="ENGLISH"/>
    <s v="MARRIED"/>
    <s v="WHITE"/>
    <d v="2176-12-16T18:24:00"/>
    <d v="2176-12-17T01:07:00"/>
    <n v="0"/>
    <x v="0"/>
    <n v="87"/>
    <x v="2"/>
    <x v="157"/>
  </r>
  <r>
    <n v="10015931"/>
    <n v="28157142"/>
    <d v="2176-11-14T18:02:00"/>
    <d v="2176-11-27T13:30:00"/>
    <m/>
    <s v="OBSERVATION ADMIT"/>
    <s v="P20N5X"/>
    <s v="EMERGENCY ROOM"/>
    <s v="SKILLED NURSING FACILITY"/>
    <s v="Medicare"/>
    <s v="ENGLISH"/>
    <s v="MARRIED"/>
    <s v="WHITE"/>
    <d v="2176-11-14T02:27:00"/>
    <d v="2176-11-14T19:51:00"/>
    <n v="0"/>
    <x v="0"/>
    <n v="87"/>
    <x v="2"/>
    <x v="191"/>
  </r>
  <r>
    <n v="10019003"/>
    <n v="25508812"/>
    <d v="2155-05-22T21:46:00"/>
    <d v="2155-05-30T03:30:00"/>
    <m/>
    <s v="OBSERVATION ADMIT"/>
    <s v="P88A32"/>
    <s v="PHYSICIAN REFERRAL"/>
    <s v="HOME"/>
    <s v="Other"/>
    <s v="ENGLISH"/>
    <s v="WIDOWED"/>
    <s v="WHITE"/>
    <m/>
    <m/>
    <n v="0"/>
    <x v="1"/>
    <n v="65"/>
    <x v="1"/>
    <x v="192"/>
  </r>
  <r>
    <n v="10039997"/>
    <n v="22484749"/>
    <d v="2137-03-15T22:08:00"/>
    <d v="2137-03-18T16:34:00"/>
    <m/>
    <s v="OBSERVATION ADMIT"/>
    <s v="P70N8P"/>
    <s v="PHYSICIAN REFERRAL"/>
    <s v="REHAB"/>
    <s v="Medicare"/>
    <s v="ENGLISH"/>
    <s v="WIDOWED"/>
    <s v="BLACK/AFRICAN AMERICAN"/>
    <d v="2137-03-15T15:27:00"/>
    <d v="2137-03-16T00:11:00"/>
    <n v="0"/>
    <x v="1"/>
    <n v="67"/>
    <x v="1"/>
    <x v="193"/>
  </r>
  <r>
    <n v="10023117"/>
    <n v="21607814"/>
    <d v="2175-07-06T15:57:00"/>
    <d v="2175-07-20T00:00:00"/>
    <d v="2175-07-20T22:50:00"/>
    <s v="OBSERVATION ADMIT"/>
    <s v="P49NLZ"/>
    <s v="EMERGENCY ROOM"/>
    <s v="DIED"/>
    <s v="Medicare"/>
    <s v="ENGLISH"/>
    <s v="WIDOWED"/>
    <s v="WHITE"/>
    <d v="2175-07-06T14:02:00"/>
    <d v="2175-07-06T17:41:00"/>
    <n v="1"/>
    <x v="0"/>
    <n v="53"/>
    <x v="1"/>
    <x v="194"/>
  </r>
  <r>
    <n v="10023117"/>
    <n v="21133938"/>
    <d v="2175-03-20T23:29:00"/>
    <d v="2175-03-29T16:00:00"/>
    <m/>
    <s v="OBSERVATION ADMIT"/>
    <s v="P66Z67"/>
    <s v="TRANSFER FROM HOSPITAL"/>
    <s v="HOME"/>
    <s v="Medicare"/>
    <s v="ENGLISH"/>
    <s v="WIDOWED"/>
    <s v="WHITE"/>
    <m/>
    <m/>
    <n v="0"/>
    <x v="0"/>
    <n v="53"/>
    <x v="1"/>
    <x v="195"/>
  </r>
  <r>
    <n v="10020306"/>
    <n v="23052851"/>
    <d v="2135-01-15T20:55:00"/>
    <d v="2135-02-07T17:50:00"/>
    <m/>
    <s v="OBSERVATION ADMIT"/>
    <s v="P54UVQ"/>
    <s v="PHYSICIAN REFERRAL"/>
    <s v="SKILLED NURSING FACILITY"/>
    <s v="Other"/>
    <s v="ENGLISH"/>
    <s v="WIDOWED"/>
    <s v="BLACK/AFRICAN AMERICAN"/>
    <d v="2135-01-15T16:12:00"/>
    <d v="2135-01-15T22:38:00"/>
    <n v="0"/>
    <x v="1"/>
    <n v="74"/>
    <x v="2"/>
    <x v="196"/>
  </r>
  <r>
    <n v="10038999"/>
    <n v="27189241"/>
    <d v="2131-05-22T21:49:00"/>
    <d v="2131-06-04T13:43:00"/>
    <m/>
    <s v="OBSERVATION ADMIT"/>
    <s v="P44UQI"/>
    <s v="EMERGENCY ROOM"/>
    <s v="HOME"/>
    <s v="Medicare"/>
    <s v="ENGLISH"/>
    <s v="SINGLE"/>
    <s v="WHITE"/>
    <d v="2131-05-22T20:33:00"/>
    <d v="2131-05-22T21:28:00"/>
    <n v="0"/>
    <x v="0"/>
    <n v="45"/>
    <x v="0"/>
    <x v="197"/>
  </r>
  <r>
    <n v="10040025"/>
    <n v="21791856"/>
    <d v="2147-06-16T22:00:00"/>
    <d v="2147-06-22T16:15:00"/>
    <m/>
    <s v="OBSERVATION ADMIT"/>
    <s v="P7634X"/>
    <s v="EMERGENCY ROOM"/>
    <s v="HOME HEALTH CARE"/>
    <s v="Other"/>
    <s v="ENGLISH"/>
    <s v="DIVORCED"/>
    <s v="WHITE"/>
    <d v="2147-06-16T18:58:00"/>
    <d v="2147-06-16T23:06:00"/>
    <n v="0"/>
    <x v="1"/>
    <n v="64"/>
    <x v="1"/>
    <x v="198"/>
  </r>
  <r>
    <n v="10040025"/>
    <n v="22251969"/>
    <d v="2147-08-03T02:58:00"/>
    <d v="2147-08-06T16:50:00"/>
    <m/>
    <s v="OBSERVATION ADMIT"/>
    <s v="P85BWS"/>
    <s v="EMERGENCY ROOM"/>
    <s v="HOME"/>
    <s v="Other"/>
    <s v="ENGLISH"/>
    <s v="DIVORCED"/>
    <s v="WHITE"/>
    <d v="2147-08-02T18:14:00"/>
    <d v="2147-08-03T02:41:00"/>
    <n v="0"/>
    <x v="1"/>
    <n v="64"/>
    <x v="1"/>
    <x v="199"/>
  </r>
  <r>
    <n v="10040025"/>
    <n v="27259207"/>
    <d v="2147-12-04T20:48:00"/>
    <d v="2147-12-18T16:43:00"/>
    <m/>
    <s v="OBSERVATION ADMIT"/>
    <s v="P43BTJ"/>
    <s v="EMERGENCY ROOM"/>
    <s v="SKILLED NURSING FACILITY"/>
    <s v="Other"/>
    <s v="ENGLISH"/>
    <s v="DIVORCED"/>
    <s v="WHITE"/>
    <d v="2147-12-04T13:11:00"/>
    <d v="2147-12-05T02:28:00"/>
    <n v="0"/>
    <x v="1"/>
    <n v="64"/>
    <x v="1"/>
    <x v="157"/>
  </r>
  <r>
    <n v="10040025"/>
    <n v="27996267"/>
    <d v="2148-01-23T12:18:00"/>
    <d v="2148-02-04T20:51:00"/>
    <m/>
    <s v="OBSERVATION ADMIT"/>
    <s v="P10WWR"/>
    <s v="TRANSFER FROM SKILLED NURSING FACILITY"/>
    <s v="HOSPICE"/>
    <s v="Other"/>
    <s v="ENGLISH"/>
    <s v="DIVORCED"/>
    <s v="WHITE"/>
    <d v="2148-01-22T14:47:00"/>
    <d v="2148-01-23T09:42:00"/>
    <n v="0"/>
    <x v="1"/>
    <n v="64"/>
    <x v="1"/>
    <x v="151"/>
  </r>
  <r>
    <n v="10016742"/>
    <n v="28506150"/>
    <d v="2178-07-13T05:40:00"/>
    <d v="2178-07-16T02:00:00"/>
    <m/>
    <s v="OBSERVATION ADMIT"/>
    <s v="P031HZ"/>
    <s v="EMERGENCY ROOM"/>
    <s v="SKILLED NURSING FACILITY"/>
    <s v="Medicaid"/>
    <s v="ENGLISH"/>
    <s v="SINGLE"/>
    <s v="BLACK/AFRICAN AMERICAN"/>
    <d v="2178-07-13T04:37:00"/>
    <d v="2178-07-13T08:16:00"/>
    <n v="0"/>
    <x v="1"/>
    <n v="58"/>
    <x v="1"/>
    <x v="200"/>
  </r>
  <r>
    <n v="10016742"/>
    <n v="27568122"/>
    <d v="2178-07-22T07:19:00"/>
    <d v="2178-07-25T16:30:00"/>
    <m/>
    <s v="OBSERVATION ADMIT"/>
    <s v="P513EK"/>
    <s v="EMERGENCY ROOM"/>
    <s v="CHRONIC/LONG TERM ACUTE CARE"/>
    <s v="Medicaid"/>
    <s v="ENGLISH"/>
    <s v="SINGLE"/>
    <s v="BLACK/AFRICAN AMERICAN"/>
    <d v="2178-07-22T05:41:00"/>
    <d v="2178-07-22T08:19:00"/>
    <n v="0"/>
    <x v="1"/>
    <n v="58"/>
    <x v="1"/>
    <x v="201"/>
  </r>
  <r>
    <n v="10010867"/>
    <n v="22196214"/>
    <d v="2148-03-07T23:30:00"/>
    <d v="2148-03-13T15:50:00"/>
    <m/>
    <s v="OBSERVATION ADMIT"/>
    <s v="P233F6"/>
    <s v="EMERGENCY ROOM"/>
    <s v="REHAB"/>
    <s v="Other"/>
    <s v="ENGLISH"/>
    <s v="DIVORCED"/>
    <s v="WHITE - BRAZILIAN"/>
    <d v="2148-03-07T18:21:00"/>
    <d v="2148-03-08T00:50:00"/>
    <n v="0"/>
    <x v="1"/>
    <n v="28"/>
    <x v="3"/>
    <x v="202"/>
  </r>
  <r>
    <n v="10010867"/>
    <n v="22950920"/>
    <d v="2148-01-25T22:58:00"/>
    <d v="2148-01-30T11:23:00"/>
    <m/>
    <s v="OBSERVATION ADMIT"/>
    <s v="P39FGY"/>
    <s v="EMERGENCY ROOM"/>
    <s v="REHAB"/>
    <s v="Other"/>
    <s v="ENGLISH"/>
    <s v="DIVORCED"/>
    <s v="WHITE - BRAZILIAN"/>
    <d v="2148-01-25T18:46:00"/>
    <d v="2148-01-26T01:27:00"/>
    <n v="0"/>
    <x v="1"/>
    <n v="28"/>
    <x v="3"/>
    <x v="203"/>
  </r>
  <r>
    <n v="10002428"/>
    <n v="28295257"/>
    <d v="2160-04-14T12:30:00"/>
    <d v="2160-04-18T16:00:00"/>
    <m/>
    <s v="OBSERVATION ADMIT"/>
    <s v="P18I28"/>
    <s v="EMERGENCY ROOM"/>
    <s v="SKILLED NURSING FACILITY"/>
    <s v="Medicare"/>
    <s v="ENGLISH"/>
    <s v="WIDOWED"/>
    <s v="WHITE"/>
    <d v="2160-04-14T09:01:00"/>
    <d v="2160-04-14T14:28:00"/>
    <n v="0"/>
    <x v="1"/>
    <n v="80"/>
    <x v="2"/>
    <x v="204"/>
  </r>
  <r>
    <n v="10005348"/>
    <n v="29176490"/>
    <d v="2129-05-22T16:00:00"/>
    <d v="2129-05-23T11:30:00"/>
    <m/>
    <s v="DIRECT OBSERVATION"/>
    <s v="P132L1"/>
    <s v="PHYSICIAN REFERRAL"/>
    <s v=""/>
    <s v="Other"/>
    <s v="ENGLISH"/>
    <s v="MARRIED"/>
    <s v="WHITE"/>
    <m/>
    <m/>
    <n v="0"/>
    <x v="0"/>
    <n v="76"/>
    <x v="2"/>
    <x v="22"/>
  </r>
  <r>
    <n v="10020740"/>
    <n v="29820177"/>
    <d v="2150-07-09T22:09:00"/>
    <d v="2150-07-12T18:00:00"/>
    <m/>
    <s v="DIRECT OBSERVATION"/>
    <s v="P1942H"/>
    <s v="CLINIC REFERRAL"/>
    <s v=""/>
    <s v="Other"/>
    <s v="ENGLISH"/>
    <s v="SINGLE"/>
    <s v="WHITE"/>
    <m/>
    <m/>
    <n v="0"/>
    <x v="0"/>
    <n v="56"/>
    <x v="1"/>
    <x v="205"/>
  </r>
  <r>
    <n v="10039708"/>
    <n v="22999601"/>
    <d v="2142-05-15T17:14:00"/>
    <d v="2142-05-15T18:21:00"/>
    <m/>
    <s v="DIRECT OBSERVATION"/>
    <s v="P42K8Q"/>
    <s v="PHYSICIAN REFERRAL"/>
    <s v=""/>
    <s v="Other"/>
    <s v="ENGLISH"/>
    <s v="SINGLE"/>
    <s v="BLACK/AFRICAN AMERICAN"/>
    <d v="2142-05-15T10:47:00"/>
    <d v="2142-05-15T18:21:00"/>
    <n v="0"/>
    <x v="1"/>
    <n v="46"/>
    <x v="0"/>
    <x v="6"/>
  </r>
  <r>
    <n v="10012853"/>
    <n v="20457729"/>
    <d v="2177-11-03T09:30:00"/>
    <d v="2177-11-04T15:06:00"/>
    <m/>
    <s v="DIRECT OBSERVATION"/>
    <s v="P05BRR"/>
    <s v="PHYSICIAN REFERRAL"/>
    <s v=""/>
    <s v="Medicare"/>
    <s v="ENGLISH"/>
    <s v="WIDOWED"/>
    <s v="BLACK/AFRICAN AMERICAN"/>
    <m/>
    <m/>
    <n v="0"/>
    <x v="1"/>
    <n v="91"/>
    <x v="2"/>
    <x v="206"/>
  </r>
  <r>
    <n v="10012853"/>
    <n v="26739864"/>
    <d v="2177-02-11T07:15:00"/>
    <d v="2177-02-12T16:20:00"/>
    <m/>
    <s v="DIRECT OBSERVATION"/>
    <s v="P05BRR"/>
    <s v="PHYSICIAN REFERRAL"/>
    <s v=""/>
    <s v="Medicare"/>
    <s v="ENGLISH"/>
    <s v="WIDOWED"/>
    <s v="BLACK/AFRICAN AMERICAN"/>
    <m/>
    <m/>
    <n v="0"/>
    <x v="1"/>
    <n v="91"/>
    <x v="2"/>
    <x v="207"/>
  </r>
  <r>
    <n v="10004457"/>
    <n v="25559382"/>
    <d v="2148-09-14T14:19:00"/>
    <d v="2148-09-15T12:45:00"/>
    <m/>
    <s v="DIRECT OBSERVATION"/>
    <s v="P466EI"/>
    <s v="PHYSICIAN REFERRAL"/>
    <s v=""/>
    <s v="Medicare"/>
    <s v="ENGLISH"/>
    <s v="DIVORCED"/>
    <s v="WHITE"/>
    <m/>
    <m/>
    <n v="0"/>
    <x v="0"/>
    <n v="65"/>
    <x v="1"/>
    <x v="208"/>
  </r>
  <r>
    <n v="10007795"/>
    <n v="27962747"/>
    <d v="2136-07-24T17:15:00"/>
    <d v="2136-07-27T14:27:00"/>
    <m/>
    <s v="DIRECT OBSERVATION"/>
    <s v="P99LA7"/>
    <s v="PHYSICIAN REFERRAL"/>
    <s v=""/>
    <s v="Medicare"/>
    <s v="ENGLISH"/>
    <s v="SINGLE"/>
    <s v="WHITE"/>
    <m/>
    <m/>
    <n v="0"/>
    <x v="1"/>
    <n v="53"/>
    <x v="1"/>
    <x v="209"/>
  </r>
  <r>
    <n v="10035631"/>
    <n v="29654498"/>
    <d v="2113-07-17T17:15:00"/>
    <d v="2113-07-18T14:55:00"/>
    <m/>
    <s v="AMBULATORY OBSERVATION"/>
    <s v="P48P6U"/>
    <s v="PACU"/>
    <s v=""/>
    <s v="Other"/>
    <s v="ENGLISH"/>
    <s v="MARRIED"/>
    <s v="WHITE"/>
    <m/>
    <m/>
    <n v="0"/>
    <x v="0"/>
    <n v="63"/>
    <x v="1"/>
    <x v="210"/>
  </r>
  <r>
    <n v="10020306"/>
    <n v="28778757"/>
    <d v="2129-10-29T08:00:00"/>
    <d v="2129-10-30T13:20:00"/>
    <m/>
    <s v="AMBULATORY OBSERVATION"/>
    <s v="P75JMU"/>
    <s v="PACU"/>
    <s v=""/>
    <s v="Medicare"/>
    <s v="ENGLISH"/>
    <s v="SINGLE"/>
    <s v="BLACK/AFRICAN AMERICAN"/>
    <m/>
    <m/>
    <n v="0"/>
    <x v="1"/>
    <n v="74"/>
    <x v="2"/>
    <x v="211"/>
  </r>
  <r>
    <n v="10040025"/>
    <n v="27125816"/>
    <d v="2143-03-18T12:34:00"/>
    <d v="2143-03-19T12:00:00"/>
    <m/>
    <s v="AMBULATORY OBSERVATION"/>
    <s v="P623U2"/>
    <s v="PROCEDURE SITE"/>
    <s v=""/>
    <s v="Other"/>
    <s v="ENGLISH"/>
    <s v="DIVORCED"/>
    <s v="WHITE"/>
    <m/>
    <m/>
    <n v="0"/>
    <x v="1"/>
    <n v="64"/>
    <x v="1"/>
    <x v="212"/>
  </r>
  <r>
    <n v="10004457"/>
    <n v="21039249"/>
    <d v="2140-09-17T13:41:00"/>
    <d v="2140-09-18T12:40:00"/>
    <m/>
    <s v="AMBULATORY OBSERVATION"/>
    <s v="P99YFT"/>
    <s v="PROCEDURE SITE"/>
    <s v=""/>
    <s v="Medicare"/>
    <s v="ENGLISH"/>
    <s v="SINGLE"/>
    <s v="WHITE"/>
    <m/>
    <m/>
    <n v="0"/>
    <x v="0"/>
    <n v="65"/>
    <x v="1"/>
    <x v="213"/>
  </r>
  <r>
    <n v="10004457"/>
    <n v="21216581"/>
    <d v="2143-03-09T11:10:00"/>
    <d v="2143-03-10T11:35:00"/>
    <m/>
    <s v="AMBULATORY OBSERVATION"/>
    <s v="P89ZCW"/>
    <s v="PROCEDURE SITE"/>
    <s v=""/>
    <s v="Medicare"/>
    <s v="ENGLISH"/>
    <s v="DIVORCED"/>
    <s v="WHITE"/>
    <m/>
    <m/>
    <n v="0"/>
    <x v="0"/>
    <n v="65"/>
    <x v="1"/>
    <x v="214"/>
  </r>
  <r>
    <n v="10011398"/>
    <n v="27505812"/>
    <d v="2146-12-15T07:15:00"/>
    <d v="2146-12-19T13:37:00"/>
    <m/>
    <s v="SURGICAL SAME DAY ADMISSION"/>
    <s v="P47E1G"/>
    <s v="PHYSICIAN REFERRAL"/>
    <s v="HOME HEALTH CARE"/>
    <s v="Other"/>
    <s v="ENGLISH"/>
    <s v="MARRIED"/>
    <s v="HISPANIC OR LATINO"/>
    <m/>
    <m/>
    <n v="0"/>
    <x v="0"/>
    <n v="67"/>
    <x v="1"/>
    <x v="215"/>
  </r>
  <r>
    <n v="10014729"/>
    <n v="28889419"/>
    <d v="2125-02-27T07:15:00"/>
    <d v="2125-03-06T14:25:00"/>
    <m/>
    <s v="SURGICAL SAME DAY ADMISSION"/>
    <s v="P17BJ5"/>
    <s v="PHYSICIAN REFERRAL"/>
    <s v="HOME HEALTH CARE"/>
    <s v="Other"/>
    <s v="ENGLISH"/>
    <s v="SINGLE"/>
    <s v="WHITE - OTHER EUROPEAN"/>
    <m/>
    <m/>
    <n v="0"/>
    <x v="1"/>
    <n v="21"/>
    <x v="3"/>
    <x v="216"/>
  </r>
  <r>
    <n v="10004235"/>
    <n v="25970245"/>
    <d v="2196-06-14T08:30:00"/>
    <d v="2196-06-19T14:54:00"/>
    <m/>
    <s v="SURGICAL SAME DAY ADMISSION"/>
    <s v="P96Y5O"/>
    <s v="PHYSICIAN REFERRAL"/>
    <s v="HOME HEALTH CARE"/>
    <s v="Medicaid"/>
    <s v="ENGLISH"/>
    <s v="SINGLE"/>
    <s v="BLACK/CAPE VERDEAN"/>
    <m/>
    <m/>
    <n v="0"/>
    <x v="0"/>
    <n v="47"/>
    <x v="0"/>
    <x v="217"/>
  </r>
  <r>
    <n v="10039831"/>
    <n v="26924951"/>
    <d v="2115-12-28T07:15:00"/>
    <d v="2116-01-02T14:34:00"/>
    <m/>
    <s v="SURGICAL SAME DAY ADMISSION"/>
    <s v="P82B0E"/>
    <s v="PHYSICIAN REFERRAL"/>
    <s v="HOME HEALTH CARE"/>
    <s v="Other"/>
    <s v="ENGLISH"/>
    <s v="MARRIED"/>
    <s v="UNABLE TO OBTAIN"/>
    <m/>
    <m/>
    <n v="0"/>
    <x v="1"/>
    <n v="57"/>
    <x v="1"/>
    <x v="218"/>
  </r>
  <r>
    <n v="10018328"/>
    <n v="23786647"/>
    <d v="2154-04-24T03:15:00"/>
    <d v="2154-05-03T14:00:00"/>
    <m/>
    <s v="SURGICAL SAME DAY ADMISSION"/>
    <s v="P898NM"/>
    <s v="PHYSICIAN REFERRAL"/>
    <s v="HOME HEALTH CARE"/>
    <s v="Other"/>
    <s v="ENGLISH"/>
    <s v="DIVORCED"/>
    <s v="WHITE"/>
    <m/>
    <m/>
    <n v="0"/>
    <x v="1"/>
    <n v="83"/>
    <x v="2"/>
    <x v="219"/>
  </r>
  <r>
    <n v="10018081"/>
    <n v="28861356"/>
    <d v="2134-08-02T07:15:00"/>
    <d v="2134-08-13T17:34:00"/>
    <m/>
    <s v="SURGICAL SAME DAY ADMISSION"/>
    <s v="P3417E"/>
    <s v="PHYSICIAN REFERRAL"/>
    <s v="SKILLED NURSING FACILITY"/>
    <s v="Medicare"/>
    <s v="ENGLISH"/>
    <s v="MARRIED"/>
    <s v="WHITE"/>
    <m/>
    <m/>
    <n v="0"/>
    <x v="0"/>
    <n v="79"/>
    <x v="2"/>
    <x v="220"/>
  </r>
  <r>
    <n v="10027602"/>
    <n v="21477991"/>
    <d v="2201-12-11T12:00:00"/>
    <d v="2201-12-17T13:45:00"/>
    <m/>
    <s v="SURGICAL SAME DAY ADMISSION"/>
    <s v="P898NM"/>
    <s v="PHYSICIAN REFERRAL"/>
    <s v="REHAB"/>
    <s v="Other"/>
    <s v="ENGLISH"/>
    <s v="SINGLE"/>
    <s v="WHITE"/>
    <m/>
    <m/>
    <n v="0"/>
    <x v="1"/>
    <n v="71"/>
    <x v="2"/>
    <x v="221"/>
  </r>
  <r>
    <n v="10020187"/>
    <n v="26842957"/>
    <d v="2170-02-24T00:00:00"/>
    <d v="2170-02-25T15:00:00"/>
    <m/>
    <s v="SURGICAL SAME DAY ADMISSION"/>
    <s v="P898NM"/>
    <s v="PHYSICIAN REFERRAL"/>
    <s v="HOME"/>
    <s v="Other"/>
    <s v="?"/>
    <s v="MARRIED"/>
    <s v="HISPANIC/LATINO - SALVADORAN"/>
    <m/>
    <m/>
    <n v="0"/>
    <x v="1"/>
    <n v="63"/>
    <x v="1"/>
    <x v="222"/>
  </r>
  <r>
    <n v="10003046"/>
    <n v="26048429"/>
    <d v="2154-01-02T07:15:00"/>
    <d v="2154-01-09T11:53:00"/>
    <m/>
    <s v="SURGICAL SAME DAY ADMISSION"/>
    <s v="P2720E"/>
    <s v="PHYSICIAN REFERRAL"/>
    <s v="HOME HEALTH CARE"/>
    <s v="Other"/>
    <s v="ENGLISH"/>
    <s v="SINGLE"/>
    <s v="WHITE"/>
    <m/>
    <m/>
    <n v="0"/>
    <x v="0"/>
    <n v="64"/>
    <x v="1"/>
    <x v="223"/>
  </r>
  <r>
    <n v="10022017"/>
    <n v="22342963"/>
    <d v="2189-09-10T00:00:00"/>
    <d v="2189-09-16T15:00:00"/>
    <m/>
    <s v="SURGICAL SAME DAY ADMISSION"/>
    <s v="P47E1G"/>
    <s v="PHYSICIAN REFERRAL"/>
    <s v="HOME HEALTH CARE"/>
    <s v="Other"/>
    <s v="ENGLISH"/>
    <s v="SINGLE"/>
    <s v="WHITE"/>
    <m/>
    <m/>
    <n v="0"/>
    <x v="0"/>
    <n v="59"/>
    <x v="1"/>
    <x v="19"/>
  </r>
  <r>
    <n v="10025612"/>
    <n v="23403708"/>
    <d v="2125-09-25T07:15:00"/>
    <d v="2125-10-03T12:24:00"/>
    <m/>
    <s v="SURGICAL SAME DAY ADMISSION"/>
    <s v="P786Y5"/>
    <s v="PHYSICIAN REFERRAL"/>
    <s v="HOME HEALTH CARE"/>
    <s v="Medicare"/>
    <s v="ENGLISH"/>
    <s v="MARRIED"/>
    <s v="WHITE"/>
    <m/>
    <m/>
    <n v="0"/>
    <x v="0"/>
    <n v="82"/>
    <x v="2"/>
    <x v="2"/>
  </r>
  <r>
    <n v="10039997"/>
    <n v="24294180"/>
    <d v="2134-09-07T12:00:00"/>
    <d v="2134-09-11T13:10:00"/>
    <m/>
    <s v="SURGICAL SAME DAY ADMISSION"/>
    <s v="P47SIK"/>
    <s v="PHYSICIAN REFERRAL"/>
    <s v="HOME"/>
    <s v="Medicare"/>
    <s v="ENGLISH"/>
    <s v="MARRIED"/>
    <s v="BLACK/AFRICAN AMERICAN"/>
    <m/>
    <m/>
    <n v="0"/>
    <x v="1"/>
    <n v="67"/>
    <x v="1"/>
    <x v="22"/>
  </r>
  <r>
    <n v="10023117"/>
    <n v="29839885"/>
    <d v="2170-10-08T07:15:00"/>
    <d v="2170-10-09T16:30:00"/>
    <m/>
    <s v="SURGICAL SAME DAY ADMISSION"/>
    <s v="P89ZCW"/>
    <s v="PHYSICIAN REFERRAL"/>
    <s v="HOME HEALTH CARE"/>
    <s v="Medicare"/>
    <s v="ENGLISH"/>
    <s v="WIDOWED"/>
    <s v="WHITE"/>
    <m/>
    <m/>
    <n v="0"/>
    <x v="0"/>
    <n v="53"/>
    <x v="1"/>
    <x v="107"/>
  </r>
  <r>
    <n v="10038992"/>
    <n v="24745425"/>
    <d v="2187-07-29T01:05:00"/>
    <d v="2187-08-03T17:02:00"/>
    <m/>
    <s v="SURGICAL SAME DAY ADMISSION"/>
    <s v="P41R5N"/>
    <s v="PHYSICIAN REFERRAL"/>
    <s v="SKILLED NURSING FACILITY"/>
    <s v="Medicare"/>
    <s v="ENGLISH"/>
    <s v="MARRIED"/>
    <s v="WHITE"/>
    <m/>
    <m/>
    <n v="0"/>
    <x v="0"/>
    <n v="70"/>
    <x v="1"/>
    <x v="11"/>
  </r>
  <r>
    <n v="10008287"/>
    <n v="22168393"/>
    <d v="2145-09-28T01:17:00"/>
    <d v="2145-10-02T13:35:00"/>
    <m/>
    <s v="SURGICAL SAME DAY ADMISSION"/>
    <s v="P898NM"/>
    <s v="PHYSICIAN REFERRAL"/>
    <s v="HOME HEALTH CARE"/>
    <s v="Other"/>
    <s v="ENGLISH"/>
    <s v="SINGLE"/>
    <s v="WHITE"/>
    <m/>
    <m/>
    <n v="0"/>
    <x v="1"/>
    <n v="43"/>
    <x v="0"/>
    <x v="148"/>
  </r>
  <r>
    <n v="10022880"/>
    <n v="27708593"/>
    <d v="2177-03-12T07:15:00"/>
    <d v="2177-03-19T14:25:00"/>
    <m/>
    <s v="SURGICAL SAME DAY ADMISSION"/>
    <s v="P99698"/>
    <s v="PHYSICIAN REFERRAL"/>
    <s v="HOME"/>
    <s v="Medicare"/>
    <s v="ENGLISH"/>
    <s v="MARRIED"/>
    <s v="WHITE"/>
    <m/>
    <m/>
    <n v="0"/>
    <x v="0"/>
    <n v="66"/>
    <x v="1"/>
    <x v="118"/>
  </r>
  <r>
    <n v="10004457"/>
    <n v="23251352"/>
    <d v="2141-12-17T11:00:00"/>
    <d v="2141-12-21T15:56:00"/>
    <m/>
    <s v="SURGICAL SAME DAY ADMISSION"/>
    <s v="P41R5N"/>
    <s v="PHYSICIAN REFERRAL"/>
    <s v="REHAB"/>
    <s v="Medicare"/>
    <s v="ENGLISH"/>
    <s v="SINGLE"/>
    <s v="OTHER"/>
    <m/>
    <m/>
    <n v="0"/>
    <x v="0"/>
    <n v="65"/>
    <x v="1"/>
    <x v="2"/>
  </r>
  <r>
    <n v="10004457"/>
    <n v="28108313"/>
    <d v="2147-12-19T00:00:00"/>
    <d v="2147-12-21T16:10:00"/>
    <m/>
    <s v="SURGICAL SAME DAY ADMISSION"/>
    <s v="P10WWR"/>
    <s v="PHYSICIAN REFERRAL"/>
    <s v="SKILLED NURSING FACILITY"/>
    <s v="Medicare"/>
    <s v="ENGLISH"/>
    <s v="DIVORCED"/>
    <s v="WHITE"/>
    <m/>
    <m/>
    <n v="0"/>
    <x v="0"/>
    <n v="65"/>
    <x v="1"/>
    <x v="2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B5AB7-4FB4-3642-905B-9F5E2940175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h="1" x="1"/>
        <item x="0"/>
        <item t="default"/>
      </items>
    </pivotField>
    <pivotField showAll="0"/>
    <pivotField axis="axisRow" showAll="0" measureFilter="1"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s>
  <rowFields count="1">
    <field x="18"/>
  </rowFields>
  <rowItems count="3">
    <i>
      <x v="2"/>
    </i>
    <i>
      <x v="1"/>
    </i>
    <i t="grand">
      <x/>
    </i>
  </rowItems>
  <colItems count="1">
    <i/>
  </colItems>
  <dataFields count="1">
    <dataField name="Average of hospital_expire_flag" fld="15" subtotal="average" baseField="0" baseItem="0"/>
  </dataFields>
  <formats count="4">
    <format dxfId="37">
      <pivotArea collapsedLevelsAreSubtotals="1" fieldPosition="0">
        <references count="1">
          <reference field="18" count="1">
            <x v="1"/>
          </reference>
        </references>
      </pivotArea>
    </format>
    <format dxfId="36">
      <pivotArea collapsedLevelsAreSubtotals="1" fieldPosition="0">
        <references count="1">
          <reference field="18" count="1">
            <x v="2"/>
          </reference>
        </references>
      </pivotArea>
    </format>
    <format dxfId="35">
      <pivotArea collapsedLevelsAreSubtotals="1" fieldPosition="0">
        <references count="1">
          <reference field="18" count="1">
            <x v="0"/>
          </reference>
        </references>
      </pivotArea>
    </format>
    <format dxfId="34">
      <pivotArea collapsedLevelsAreSubtotals="1" fieldPosition="0">
        <references count="1">
          <reference field="18"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EAB2F-EE99-E647-AD41-271079078D6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axis="axisRow" dataField="1" showAll="0" measureFilter="1" sortType="descending">
      <items count="226">
        <item x="132"/>
        <item x="81"/>
        <item x="77"/>
        <item x="104"/>
        <item x="78"/>
        <item x="34"/>
        <item x="84"/>
        <item x="223"/>
        <item x="210"/>
        <item x="67"/>
        <item x="94"/>
        <item x="87"/>
        <item x="102"/>
        <item x="22"/>
        <item x="37"/>
        <item x="39"/>
        <item x="54"/>
        <item x="96"/>
        <item x="9"/>
        <item x="13"/>
        <item x="114"/>
        <item x="50"/>
        <item x="152"/>
        <item x="153"/>
        <item x="98"/>
        <item x="138"/>
        <item x="100"/>
        <item x="130"/>
        <item x="73"/>
        <item x="97"/>
        <item x="69"/>
        <item x="131"/>
        <item x="139"/>
        <item x="91"/>
        <item x="53"/>
        <item x="68"/>
        <item x="80"/>
        <item x="65"/>
        <item x="1"/>
        <item x="136"/>
        <item x="117"/>
        <item x="30"/>
        <item x="10"/>
        <item x="14"/>
        <item x="211"/>
        <item x="28"/>
        <item x="21"/>
        <item x="0"/>
        <item x="107"/>
        <item x="120"/>
        <item x="218"/>
        <item x="134"/>
        <item x="3"/>
        <item x="58"/>
        <item x="123"/>
        <item x="49"/>
        <item x="61"/>
        <item x="18"/>
        <item x="220"/>
        <item x="33"/>
        <item x="8"/>
        <item x="106"/>
        <item x="221"/>
        <item x="105"/>
        <item x="83"/>
        <item x="215"/>
        <item x="140"/>
        <item x="85"/>
        <item x="76"/>
        <item x="41"/>
        <item x="217"/>
        <item x="205"/>
        <item x="55"/>
        <item x="35"/>
        <item x="101"/>
        <item x="52"/>
        <item x="59"/>
        <item x="212"/>
        <item x="66"/>
        <item x="20"/>
        <item x="141"/>
        <item x="116"/>
        <item x="93"/>
        <item x="103"/>
        <item x="149"/>
        <item x="43"/>
        <item x="60"/>
        <item x="142"/>
        <item x="44"/>
        <item x="86"/>
        <item x="128"/>
        <item x="75"/>
        <item x="159"/>
        <item x="113"/>
        <item x="38"/>
        <item x="48"/>
        <item x="26"/>
        <item x="144"/>
        <item x="32"/>
        <item x="23"/>
        <item x="156"/>
        <item x="168"/>
        <item x="89"/>
        <item x="145"/>
        <item x="79"/>
        <item x="110"/>
        <item x="82"/>
        <item x="95"/>
        <item x="11"/>
        <item x="124"/>
        <item x="192"/>
        <item x="64"/>
        <item x="202"/>
        <item x="151"/>
        <item x="12"/>
        <item x="188"/>
        <item x="15"/>
        <item x="162"/>
        <item x="25"/>
        <item x="170"/>
        <item x="194"/>
        <item x="216"/>
        <item x="92"/>
        <item x="99"/>
        <item x="4"/>
        <item x="172"/>
        <item x="126"/>
        <item x="115"/>
        <item x="135"/>
        <item x="121"/>
        <item x="129"/>
        <item x="6"/>
        <item x="17"/>
        <item x="163"/>
        <item x="146"/>
        <item x="148"/>
        <item x="167"/>
        <item x="24"/>
        <item x="178"/>
        <item x="36"/>
        <item x="176"/>
        <item x="198"/>
        <item x="207"/>
        <item x="182"/>
        <item x="88"/>
        <item x="19"/>
        <item x="16"/>
        <item x="191"/>
        <item x="47"/>
        <item x="193"/>
        <item x="199"/>
        <item x="57"/>
        <item x="184"/>
        <item x="200"/>
        <item x="219"/>
        <item x="183"/>
        <item x="197"/>
        <item x="108"/>
        <item x="206"/>
        <item x="208"/>
        <item x="133"/>
        <item x="112"/>
        <item x="190"/>
        <item x="177"/>
        <item x="109"/>
        <item x="174"/>
        <item x="164"/>
        <item x="204"/>
        <item x="196"/>
        <item x="45"/>
        <item x="7"/>
        <item x="160"/>
        <item x="72"/>
        <item x="195"/>
        <item x="187"/>
        <item x="137"/>
        <item x="186"/>
        <item x="122"/>
        <item x="158"/>
        <item x="166"/>
        <item x="189"/>
        <item x="147"/>
        <item x="175"/>
        <item x="165"/>
        <item x="46"/>
        <item x="74"/>
        <item x="125"/>
        <item x="150"/>
        <item x="2"/>
        <item x="62"/>
        <item x="42"/>
        <item x="119"/>
        <item x="214"/>
        <item x="56"/>
        <item x="118"/>
        <item x="27"/>
        <item x="63"/>
        <item x="161"/>
        <item x="31"/>
        <item x="40"/>
        <item x="29"/>
        <item x="5"/>
        <item x="209"/>
        <item x="213"/>
        <item x="127"/>
        <item x="51"/>
        <item x="201"/>
        <item x="173"/>
        <item x="179"/>
        <item x="171"/>
        <item x="143"/>
        <item x="155"/>
        <item x="157"/>
        <item x="224"/>
        <item x="90"/>
        <item x="181"/>
        <item x="71"/>
        <item x="111"/>
        <item x="154"/>
        <item x="169"/>
        <item x="180"/>
        <item x="222"/>
        <item x="203"/>
        <item x="70"/>
        <item x="185"/>
        <item t="default"/>
      </items>
      <autoSortScope>
        <pivotArea dataOnly="0" outline="0" fieldPosition="0">
          <references count="1">
            <reference field="4294967294" count="1" selected="0">
              <x v="0"/>
            </reference>
          </references>
        </pivotArea>
      </autoSortScope>
    </pivotField>
  </pivotFields>
  <rowFields count="1">
    <field x="19"/>
  </rowFields>
  <rowItems count="16">
    <i>
      <x v="188"/>
    </i>
    <i>
      <x v="108"/>
    </i>
    <i>
      <x v="165"/>
    </i>
    <i>
      <x v="1"/>
    </i>
    <i>
      <x v="211"/>
    </i>
    <i>
      <x v="73"/>
    </i>
    <i>
      <x v="146"/>
    </i>
    <i>
      <x v="169"/>
    </i>
    <i>
      <x v="55"/>
    </i>
    <i>
      <x v="42"/>
    </i>
    <i>
      <x v="201"/>
    </i>
    <i>
      <x v="116"/>
    </i>
    <i>
      <x v="212"/>
    </i>
    <i>
      <x v="122"/>
    </i>
    <i>
      <x v="145"/>
    </i>
    <i t="grand">
      <x/>
    </i>
  </rowItems>
  <colItems count="1">
    <i/>
  </colItems>
  <dataFields count="1">
    <dataField name="Count of icd_code" fld="1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5B3BA138-EAA5-C344-9419-E48722B17676}" autoFormatId="16" applyNumberFormats="0" applyBorderFormats="0" applyFontFormats="0" applyPatternFormats="0" applyAlignmentFormats="0" applyWidthHeightFormats="0">
  <queryTableRefresh nextId="6">
    <queryTableFields count="5">
      <queryTableField id="1" name="subject_id" tableColumnId="1"/>
      <queryTableField id="2" name="hadm_id" tableColumnId="2"/>
      <queryTableField id="3" name="seq_num" tableColumnId="3"/>
      <queryTableField id="4" name="icd_code" tableColumnId="4"/>
      <queryTableField id="5" name="icd_ver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2A45AA1-E229-C245-B5EF-DAB33C5BB7C4}" autoFormatId="16" applyNumberFormats="0" applyBorderFormats="0" applyFontFormats="0" applyPatternFormats="0" applyAlignmentFormats="0" applyWidthHeightFormats="0">
  <queryTableRefresh nextId="21" unboundColumnsRight="4">
    <queryTableFields count="20">
      <queryTableField id="1" name="subject_id" tableColumnId="1"/>
      <queryTableField id="2" name="hadm_id" tableColumnId="2"/>
      <queryTableField id="3" name="admittime" tableColumnId="3"/>
      <queryTableField id="4" name="dischtime" tableColumnId="4"/>
      <queryTableField id="5" name="deathtime" tableColumnId="5"/>
      <queryTableField id="6" name="admission_type" tableColumnId="6"/>
      <queryTableField id="7" name="admit_provider_id" tableColumnId="7"/>
      <queryTableField id="8" name="admission_location" tableColumnId="8"/>
      <queryTableField id="9" name="discharge_location" tableColumnId="9"/>
      <queryTableField id="10" name="insurance" tableColumnId="10"/>
      <queryTableField id="11" name="language" tableColumnId="11"/>
      <queryTableField id="12" name="marital_status" tableColumnId="12"/>
      <queryTableField id="13" name="race" tableColumnId="13"/>
      <queryTableField id="14" name="edregtime" tableColumnId="14"/>
      <queryTableField id="15" name="edouttime" tableColumnId="15"/>
      <queryTableField id="16" name="hospital_expire_flag" tableColumnId="16"/>
      <queryTableField id="17" dataBound="0" tableColumnId="17"/>
      <queryTableField id="18" dataBound="0" tableColumnId="18"/>
      <queryTableField id="19" dataBound="0" tableColumnId="19"/>
      <queryTableField id="20" dataBound="0"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E557E19-CA93-424A-92C0-5C4BFF794D97}" autoFormatId="16" applyNumberFormats="0" applyBorderFormats="0" applyFontFormats="0" applyPatternFormats="0" applyAlignmentFormats="0" applyWidthHeightFormats="0">
  <queryTableRefresh nextId="7">
    <queryTableFields count="6">
      <queryTableField id="1" name="subject_id" tableColumnId="1"/>
      <queryTableField id="2" name="gender" tableColumnId="2"/>
      <queryTableField id="3" name="anchor_age" tableColumnId="3"/>
      <queryTableField id="4" name="anchor_year" tableColumnId="4"/>
      <queryTableField id="5" name="anchor_year_group" tableColumnId="5"/>
      <queryTableField id="6" name="do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FFAC38-BF09-4341-B880-BFDB98DCF2D8}" sourceName="gender">
  <pivotTables>
    <pivotTable tabId="5" name="PivotTable1"/>
    <pivotTable tabId="6" name="PivotTable2"/>
  </pivotTables>
  <data>
    <tabular pivotCacheId="17206197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6CA9B31-CDAF-AE4E-B258-3408E0119E88}" cache="Slicer_gender" caption="gender" rowHeight="251883"/>
  <slicer name="gender 2" xr10:uid="{1205543D-362D-384E-B56C-2DD773A9A8EB}" cache="Slicer_gender" caption="gender" rowHeight="251883"/>
  <slicer name="gender 3" xr10:uid="{4DA41795-ACFE-654B-A928-BFA45136C51A}" cache="Slicer_gender" caption="gender" rowHeight="251883"/>
  <slicer name="gender 4" xr10:uid="{9F024F7D-F248-F54B-B1BC-26DCEA4B395E}" cache="Slicer_gender"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9185267-A1D9-B749-8136-647C36C59163}" cache="Slicer_gender"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gender" xr10:uid="{AD39A1DC-2FF7-2E4B-AECA-F9AD8AF28BCF}" cache="Slicer_gender" caption="gender" rowHeight="251883"/>
  <slicer name="gender 6" xr10:uid="{198256E5-C668-6147-A934-AF7B7709FF16}" cache="Slicer_gender" caption="gende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BEECD0-BC12-984A-A2BA-13C82E0F5330}" name="diagnoses_icd" displayName="diagnoses_icd" ref="A1:E4507" tableType="queryTable" totalsRowShown="0">
  <autoFilter ref="A1:E4507" xr:uid="{12BEECD0-BC12-984A-A2BA-13C82E0F5330}"/>
  <tableColumns count="5">
    <tableColumn id="1" xr3:uid="{AE65E42B-7E01-8E4D-8BC9-E9C58011DDAF}" uniqueName="1" name="subject_id" queryTableFieldId="1"/>
    <tableColumn id="2" xr3:uid="{C00D1764-68BE-0E49-9D81-54022D2EC2D5}" uniqueName="2" name="hadm_id" queryTableFieldId="2"/>
    <tableColumn id="3" xr3:uid="{E5B36F30-84C8-6445-A5C7-C61C0FC40799}" uniqueName="3" name="seq_num" queryTableFieldId="3"/>
    <tableColumn id="4" xr3:uid="{2D490375-097C-8944-8E04-94E6A00CA50D}" uniqueName="4" name="icd_code" queryTableFieldId="4" dataDxfId="41"/>
    <tableColumn id="5" xr3:uid="{AA7DC510-6C53-8E41-983C-F44CBAD8B455}" uniqueName="5" name="icd_version"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D0C7BE-CC2D-B543-AC4E-E8A0977E1507}" name="admissions" displayName="admissions" ref="A1:T276" tableType="queryTable" totalsRowShown="0">
  <autoFilter ref="A1:T276" xr:uid="{ADD0C7BE-CC2D-B543-AC4E-E8A0977E1507}"/>
  <tableColumns count="20">
    <tableColumn id="1" xr3:uid="{D4A5238E-F3E7-A349-BA95-2F7A2DBD1D68}" uniqueName="1" name="subject_id" queryTableFieldId="1"/>
    <tableColumn id="2" xr3:uid="{FF86E3A5-FFC9-C446-A193-6015E3E5370D}" uniqueName="2" name="hadm_id" queryTableFieldId="2"/>
    <tableColumn id="3" xr3:uid="{D63F5BA4-E00C-E14E-A8E6-22327496AF7D}" uniqueName="3" name="admittime" queryTableFieldId="3" dataDxfId="33"/>
    <tableColumn id="4" xr3:uid="{4FDFAEF5-C832-5040-9308-9ACAAF173174}" uniqueName="4" name="dischtime" queryTableFieldId="4" dataDxfId="32"/>
    <tableColumn id="5" xr3:uid="{76890FE7-0A3A-1440-9A09-19ADCE4D798E}" uniqueName="5" name="deathtime" queryTableFieldId="5" dataDxfId="31"/>
    <tableColumn id="6" xr3:uid="{DD47E5FF-E6DD-3C47-9930-B4C082D22F83}" uniqueName="6" name="admission_type" queryTableFieldId="6" dataDxfId="30"/>
    <tableColumn id="7" xr3:uid="{5C3C4361-F165-9744-97B2-69D6C461FCBF}" uniqueName="7" name="admit_provider_id" queryTableFieldId="7" dataDxfId="29"/>
    <tableColumn id="8" xr3:uid="{6E98284F-5525-ED4A-BA05-3AE431C59976}" uniqueName="8" name="admission_location" queryTableFieldId="8" dataDxfId="28"/>
    <tableColumn id="9" xr3:uid="{E3C4B058-16F7-874E-A931-850456050CD3}" uniqueName="9" name="discharge_location" queryTableFieldId="9" dataDxfId="27"/>
    <tableColumn id="10" xr3:uid="{9EF6814B-A988-EE48-9193-B80B6BE402C4}" uniqueName="10" name="insurance" queryTableFieldId="10" dataDxfId="26"/>
    <tableColumn id="11" xr3:uid="{1EE748EB-3461-F841-8FA0-4222922CD4F9}" uniqueName="11" name="language" queryTableFieldId="11" dataDxfId="25"/>
    <tableColumn id="12" xr3:uid="{061698F2-5C76-4B47-B14B-148BF7670313}" uniqueName="12" name="marital_status" queryTableFieldId="12" dataDxfId="24"/>
    <tableColumn id="13" xr3:uid="{A40D7EDD-A55E-3540-8C51-01458D7DEC84}" uniqueName="13" name="race" queryTableFieldId="13" dataDxfId="23"/>
    <tableColumn id="14" xr3:uid="{5B921019-045C-F146-AA00-DD4D9D445F74}" uniqueName="14" name="edregtime" queryTableFieldId="14" dataDxfId="22"/>
    <tableColumn id="15" xr3:uid="{A2231B09-DB5D-1D4C-A160-CA8BFCEF4EA5}" uniqueName="15" name="edouttime" queryTableFieldId="15" dataDxfId="21"/>
    <tableColumn id="16" xr3:uid="{FC67EF8C-E949-E145-8B16-E2CC6DEADE18}" uniqueName="16" name="hospital_expire_flag" queryTableFieldId="16"/>
    <tableColumn id="17" xr3:uid="{9684684D-E696-EB45-9C7C-08915DA668C6}" uniqueName="17" name="gender" queryTableFieldId="17" dataDxfId="40">
      <calculatedColumnFormula>_xlfn.XLOOKUP(A2, patients!A:A, patients!B:B)</calculatedColumnFormula>
    </tableColumn>
    <tableColumn id="18" xr3:uid="{0FA99512-2E4B-2248-9C8B-AE5898BF58F4}" uniqueName="18" name="age" queryTableFieldId="18" dataDxfId="39">
      <calculatedColumnFormula>_xlfn.XLOOKUP(A2, patients!A:A, patients!C:C)</calculatedColumnFormula>
    </tableColumn>
    <tableColumn id="19" xr3:uid="{7EEA77F2-F09B-9647-A33F-CC18505ED68C}" uniqueName="19" name="age_group" queryTableFieldId="19" dataDxfId="38">
      <calculatedColumnFormula>IF(R2&lt;30,"Under 30",
 IF(R2&lt;=50,"30-50",
 IF(R2&lt;=70,"50-70","70+")))</calculatedColumnFormula>
    </tableColumn>
    <tableColumn id="20" xr3:uid="{09C867F8-0538-DA4A-B00B-68E95D552143}" uniqueName="20" name="icd_code" queryTableFieldId="20" dataDxfId="20">
      <calculatedColumnFormula>_xlfn.XLOOKUP(B2, diagnoses_icd!B:B, diagnoses_icd!D:D)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7E52E-D34F-0F4B-AD70-DC3ADFECAC15}" name="patients" displayName="patients" ref="A1:F101" tableType="queryTable" totalsRowShown="0">
  <autoFilter ref="A1:F101" xr:uid="{0537E52E-D34F-0F4B-AD70-DC3ADFECAC15}"/>
  <tableColumns count="6">
    <tableColumn id="1" xr3:uid="{B4A0A1B5-7A4B-BF40-8330-C70E4ECEA310}" uniqueName="1" name="subject_id" queryTableFieldId="1"/>
    <tableColumn id="2" xr3:uid="{99D79635-E798-7E44-8312-54CCA33E0146}" uniqueName="2" name="gender" queryTableFieldId="2" dataDxfId="44"/>
    <tableColumn id="3" xr3:uid="{01B37176-0016-A349-AC0C-38E386D4489C}" uniqueName="3" name="anchor_age" queryTableFieldId="3"/>
    <tableColumn id="4" xr3:uid="{47297121-0B0C-6A42-9C69-F108BA3A4697}" uniqueName="4" name="anchor_year" queryTableFieldId="4"/>
    <tableColumn id="5" xr3:uid="{E6F3764B-9EB7-764C-A7C1-6BE5340C5E2B}" uniqueName="5" name="anchor_year_group" queryTableFieldId="5" dataDxfId="43"/>
    <tableColumn id="6" xr3:uid="{B617BBAE-426D-E64E-ACC0-77E7DC4727BE}" uniqueName="6" name="dod" queryTableFieldId="6" dataDxfId="4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EDD5-0EBA-EA41-A3FA-C636ECB63C64}">
  <dimension ref="A1:E4507"/>
  <sheetViews>
    <sheetView zoomScale="140" zoomScaleNormal="140" workbookViewId="0"/>
  </sheetViews>
  <sheetFormatPr baseColWidth="10" defaultRowHeight="16" x14ac:dyDescent="0.2"/>
  <cols>
    <col min="1" max="1" width="12.1640625" customWidth="1"/>
    <col min="2" max="2" width="10.6640625" customWidth="1"/>
    <col min="3" max="3" width="11.1640625" customWidth="1"/>
    <col min="4" max="4" width="11" customWidth="1"/>
    <col min="5" max="5" width="13" customWidth="1"/>
  </cols>
  <sheetData>
    <row r="1" spans="1:5" x14ac:dyDescent="0.2">
      <c r="A1" t="s">
        <v>0</v>
      </c>
      <c r="B1" t="s">
        <v>10</v>
      </c>
      <c r="C1" t="s">
        <v>248</v>
      </c>
      <c r="D1" t="s">
        <v>249</v>
      </c>
      <c r="E1" t="s">
        <v>250</v>
      </c>
    </row>
    <row r="2" spans="1:5" x14ac:dyDescent="0.2">
      <c r="A2">
        <v>10035185</v>
      </c>
      <c r="B2">
        <v>22580999</v>
      </c>
      <c r="C2">
        <v>3</v>
      </c>
      <c r="D2" s="1" t="s">
        <v>251</v>
      </c>
      <c r="E2">
        <v>9</v>
      </c>
    </row>
    <row r="3" spans="1:5" x14ac:dyDescent="0.2">
      <c r="A3">
        <v>10035185</v>
      </c>
      <c r="B3">
        <v>22580999</v>
      </c>
      <c r="C3">
        <v>10</v>
      </c>
      <c r="D3" s="1" t="s">
        <v>252</v>
      </c>
      <c r="E3">
        <v>9</v>
      </c>
    </row>
    <row r="4" spans="1:5" x14ac:dyDescent="0.2">
      <c r="A4">
        <v>10035185</v>
      </c>
      <c r="B4">
        <v>22580999</v>
      </c>
      <c r="C4">
        <v>1</v>
      </c>
      <c r="D4" s="1" t="s">
        <v>253</v>
      </c>
      <c r="E4">
        <v>9</v>
      </c>
    </row>
    <row r="5" spans="1:5" x14ac:dyDescent="0.2">
      <c r="A5">
        <v>10035185</v>
      </c>
      <c r="B5">
        <v>22580999</v>
      </c>
      <c r="C5">
        <v>9</v>
      </c>
      <c r="D5" s="1" t="s">
        <v>254</v>
      </c>
      <c r="E5">
        <v>9</v>
      </c>
    </row>
    <row r="6" spans="1:5" x14ac:dyDescent="0.2">
      <c r="A6">
        <v>10035185</v>
      </c>
      <c r="B6">
        <v>22580999</v>
      </c>
      <c r="C6">
        <v>11</v>
      </c>
      <c r="D6" s="1" t="s">
        <v>255</v>
      </c>
      <c r="E6">
        <v>9</v>
      </c>
    </row>
    <row r="7" spans="1:5" x14ac:dyDescent="0.2">
      <c r="A7">
        <v>10035185</v>
      </c>
      <c r="B7">
        <v>22580999</v>
      </c>
      <c r="C7">
        <v>2</v>
      </c>
      <c r="D7" s="1" t="s">
        <v>256</v>
      </c>
      <c r="E7">
        <v>9</v>
      </c>
    </row>
    <row r="8" spans="1:5" x14ac:dyDescent="0.2">
      <c r="A8">
        <v>10035185</v>
      </c>
      <c r="B8">
        <v>22580999</v>
      </c>
      <c r="C8">
        <v>7</v>
      </c>
      <c r="D8" s="1" t="s">
        <v>257</v>
      </c>
      <c r="E8">
        <v>9</v>
      </c>
    </row>
    <row r="9" spans="1:5" x14ac:dyDescent="0.2">
      <c r="A9">
        <v>10035185</v>
      </c>
      <c r="B9">
        <v>22580999</v>
      </c>
      <c r="C9">
        <v>8</v>
      </c>
      <c r="D9" s="1" t="s">
        <v>258</v>
      </c>
      <c r="E9">
        <v>9</v>
      </c>
    </row>
    <row r="10" spans="1:5" x14ac:dyDescent="0.2">
      <c r="A10">
        <v>10035185</v>
      </c>
      <c r="B10">
        <v>22580999</v>
      </c>
      <c r="C10">
        <v>4</v>
      </c>
      <c r="D10" s="1" t="s">
        <v>259</v>
      </c>
      <c r="E10">
        <v>9</v>
      </c>
    </row>
    <row r="11" spans="1:5" x14ac:dyDescent="0.2">
      <c r="A11">
        <v>10035185</v>
      </c>
      <c r="B11">
        <v>22580999</v>
      </c>
      <c r="C11">
        <v>6</v>
      </c>
      <c r="D11" s="1" t="s">
        <v>260</v>
      </c>
      <c r="E11">
        <v>9</v>
      </c>
    </row>
    <row r="12" spans="1:5" x14ac:dyDescent="0.2">
      <c r="A12">
        <v>10035185</v>
      </c>
      <c r="B12">
        <v>22580999</v>
      </c>
      <c r="C12">
        <v>5</v>
      </c>
      <c r="D12" s="1" t="s">
        <v>261</v>
      </c>
      <c r="E12">
        <v>9</v>
      </c>
    </row>
    <row r="13" spans="1:5" x14ac:dyDescent="0.2">
      <c r="A13">
        <v>10009049</v>
      </c>
      <c r="B13">
        <v>22995465</v>
      </c>
      <c r="C13">
        <v>2</v>
      </c>
      <c r="D13" s="1" t="s">
        <v>262</v>
      </c>
      <c r="E13">
        <v>9</v>
      </c>
    </row>
    <row r="14" spans="1:5" x14ac:dyDescent="0.2">
      <c r="A14">
        <v>10009049</v>
      </c>
      <c r="B14">
        <v>22995465</v>
      </c>
      <c r="C14">
        <v>7</v>
      </c>
      <c r="D14" s="1" t="s">
        <v>263</v>
      </c>
      <c r="E14">
        <v>9</v>
      </c>
    </row>
    <row r="15" spans="1:5" x14ac:dyDescent="0.2">
      <c r="A15">
        <v>10009049</v>
      </c>
      <c r="B15">
        <v>22995465</v>
      </c>
      <c r="C15">
        <v>13</v>
      </c>
      <c r="D15" s="1" t="s">
        <v>264</v>
      </c>
      <c r="E15">
        <v>9</v>
      </c>
    </row>
    <row r="16" spans="1:5" x14ac:dyDescent="0.2">
      <c r="A16">
        <v>10009049</v>
      </c>
      <c r="B16">
        <v>22995465</v>
      </c>
      <c r="C16">
        <v>1</v>
      </c>
      <c r="D16" s="1" t="s">
        <v>265</v>
      </c>
      <c r="E16">
        <v>9</v>
      </c>
    </row>
    <row r="17" spans="1:5" x14ac:dyDescent="0.2">
      <c r="A17">
        <v>10009049</v>
      </c>
      <c r="B17">
        <v>22995465</v>
      </c>
      <c r="C17">
        <v>11</v>
      </c>
      <c r="D17" s="1" t="s">
        <v>266</v>
      </c>
      <c r="E17">
        <v>9</v>
      </c>
    </row>
    <row r="18" spans="1:5" x14ac:dyDescent="0.2">
      <c r="A18">
        <v>10009049</v>
      </c>
      <c r="B18">
        <v>22995465</v>
      </c>
      <c r="C18">
        <v>4</v>
      </c>
      <c r="D18" s="1" t="s">
        <v>267</v>
      </c>
      <c r="E18">
        <v>9</v>
      </c>
    </row>
    <row r="19" spans="1:5" x14ac:dyDescent="0.2">
      <c r="A19">
        <v>10009049</v>
      </c>
      <c r="B19">
        <v>22995465</v>
      </c>
      <c r="C19">
        <v>5</v>
      </c>
      <c r="D19" s="1" t="s">
        <v>268</v>
      </c>
      <c r="E19">
        <v>9</v>
      </c>
    </row>
    <row r="20" spans="1:5" x14ac:dyDescent="0.2">
      <c r="A20">
        <v>10009049</v>
      </c>
      <c r="B20">
        <v>22995465</v>
      </c>
      <c r="C20">
        <v>9</v>
      </c>
      <c r="D20" s="1" t="s">
        <v>269</v>
      </c>
      <c r="E20">
        <v>9</v>
      </c>
    </row>
    <row r="21" spans="1:5" x14ac:dyDescent="0.2">
      <c r="A21">
        <v>10009049</v>
      </c>
      <c r="B21">
        <v>22995465</v>
      </c>
      <c r="C21">
        <v>12</v>
      </c>
      <c r="D21" s="1" t="s">
        <v>270</v>
      </c>
      <c r="E21">
        <v>9</v>
      </c>
    </row>
    <row r="22" spans="1:5" x14ac:dyDescent="0.2">
      <c r="A22">
        <v>10009049</v>
      </c>
      <c r="B22">
        <v>22995465</v>
      </c>
      <c r="C22">
        <v>6</v>
      </c>
      <c r="D22" s="1" t="s">
        <v>271</v>
      </c>
      <c r="E22">
        <v>9</v>
      </c>
    </row>
    <row r="23" spans="1:5" x14ac:dyDescent="0.2">
      <c r="A23">
        <v>10009049</v>
      </c>
      <c r="B23">
        <v>22995465</v>
      </c>
      <c r="C23">
        <v>8</v>
      </c>
      <c r="D23" s="1" t="s">
        <v>272</v>
      </c>
      <c r="E23">
        <v>9</v>
      </c>
    </row>
    <row r="24" spans="1:5" x14ac:dyDescent="0.2">
      <c r="A24">
        <v>10009049</v>
      </c>
      <c r="B24">
        <v>22995465</v>
      </c>
      <c r="C24">
        <v>3</v>
      </c>
      <c r="D24" s="1" t="s">
        <v>273</v>
      </c>
      <c r="E24">
        <v>9</v>
      </c>
    </row>
    <row r="25" spans="1:5" x14ac:dyDescent="0.2">
      <c r="A25">
        <v>10009049</v>
      </c>
      <c r="B25">
        <v>22995465</v>
      </c>
      <c r="C25">
        <v>10</v>
      </c>
      <c r="D25" s="1" t="s">
        <v>274</v>
      </c>
      <c r="E25">
        <v>9</v>
      </c>
    </row>
    <row r="26" spans="1:5" x14ac:dyDescent="0.2">
      <c r="A26">
        <v>10009035</v>
      </c>
      <c r="B26">
        <v>28324362</v>
      </c>
      <c r="C26">
        <v>1</v>
      </c>
      <c r="D26" s="1" t="s">
        <v>275</v>
      </c>
      <c r="E26">
        <v>9</v>
      </c>
    </row>
    <row r="27" spans="1:5" x14ac:dyDescent="0.2">
      <c r="A27">
        <v>10009035</v>
      </c>
      <c r="B27">
        <v>28324362</v>
      </c>
      <c r="C27">
        <v>4</v>
      </c>
      <c r="D27" s="1" t="s">
        <v>276</v>
      </c>
      <c r="E27">
        <v>9</v>
      </c>
    </row>
    <row r="28" spans="1:5" x14ac:dyDescent="0.2">
      <c r="A28">
        <v>10009035</v>
      </c>
      <c r="B28">
        <v>28324362</v>
      </c>
      <c r="C28">
        <v>2</v>
      </c>
      <c r="D28" s="1" t="s">
        <v>277</v>
      </c>
      <c r="E28">
        <v>9</v>
      </c>
    </row>
    <row r="29" spans="1:5" x14ac:dyDescent="0.2">
      <c r="A29">
        <v>10009035</v>
      </c>
      <c r="B29">
        <v>28324362</v>
      </c>
      <c r="C29">
        <v>3</v>
      </c>
      <c r="D29" s="1" t="s">
        <v>278</v>
      </c>
      <c r="E29">
        <v>9</v>
      </c>
    </row>
    <row r="30" spans="1:5" x14ac:dyDescent="0.2">
      <c r="A30">
        <v>10014729</v>
      </c>
      <c r="B30">
        <v>23300884</v>
      </c>
      <c r="C30">
        <v>3</v>
      </c>
      <c r="D30" s="1" t="s">
        <v>279</v>
      </c>
      <c r="E30">
        <v>9</v>
      </c>
    </row>
    <row r="31" spans="1:5" x14ac:dyDescent="0.2">
      <c r="A31">
        <v>10014729</v>
      </c>
      <c r="B31">
        <v>23300884</v>
      </c>
      <c r="C31">
        <v>12</v>
      </c>
      <c r="D31" s="1" t="s">
        <v>280</v>
      </c>
      <c r="E31">
        <v>9</v>
      </c>
    </row>
    <row r="32" spans="1:5" x14ac:dyDescent="0.2">
      <c r="A32">
        <v>10014729</v>
      </c>
      <c r="B32">
        <v>23300884</v>
      </c>
      <c r="C32">
        <v>6</v>
      </c>
      <c r="D32" s="1" t="s">
        <v>281</v>
      </c>
      <c r="E32">
        <v>9</v>
      </c>
    </row>
    <row r="33" spans="1:5" x14ac:dyDescent="0.2">
      <c r="A33">
        <v>10014729</v>
      </c>
      <c r="B33">
        <v>23300884</v>
      </c>
      <c r="C33">
        <v>9</v>
      </c>
      <c r="D33" s="1" t="s">
        <v>282</v>
      </c>
      <c r="E33">
        <v>9</v>
      </c>
    </row>
    <row r="34" spans="1:5" x14ac:dyDescent="0.2">
      <c r="A34">
        <v>10014729</v>
      </c>
      <c r="B34">
        <v>23300884</v>
      </c>
      <c r="C34">
        <v>1</v>
      </c>
      <c r="D34" s="1" t="s">
        <v>283</v>
      </c>
      <c r="E34">
        <v>9</v>
      </c>
    </row>
    <row r="35" spans="1:5" x14ac:dyDescent="0.2">
      <c r="A35">
        <v>10014729</v>
      </c>
      <c r="B35">
        <v>23300884</v>
      </c>
      <c r="C35">
        <v>11</v>
      </c>
      <c r="D35" s="1" t="s">
        <v>284</v>
      </c>
      <c r="E35">
        <v>9</v>
      </c>
    </row>
    <row r="36" spans="1:5" x14ac:dyDescent="0.2">
      <c r="A36">
        <v>10014729</v>
      </c>
      <c r="B36">
        <v>23300884</v>
      </c>
      <c r="C36">
        <v>7</v>
      </c>
      <c r="D36" s="1" t="s">
        <v>285</v>
      </c>
      <c r="E36">
        <v>9</v>
      </c>
    </row>
    <row r="37" spans="1:5" x14ac:dyDescent="0.2">
      <c r="A37">
        <v>10014729</v>
      </c>
      <c r="B37">
        <v>23300884</v>
      </c>
      <c r="C37">
        <v>2</v>
      </c>
      <c r="D37" s="1" t="s">
        <v>286</v>
      </c>
      <c r="E37">
        <v>9</v>
      </c>
    </row>
    <row r="38" spans="1:5" x14ac:dyDescent="0.2">
      <c r="A38">
        <v>10014729</v>
      </c>
      <c r="B38">
        <v>23300884</v>
      </c>
      <c r="C38">
        <v>4</v>
      </c>
      <c r="D38" s="1" t="s">
        <v>287</v>
      </c>
      <c r="E38">
        <v>9</v>
      </c>
    </row>
    <row r="39" spans="1:5" x14ac:dyDescent="0.2">
      <c r="A39">
        <v>10014729</v>
      </c>
      <c r="B39">
        <v>23300884</v>
      </c>
      <c r="C39">
        <v>5</v>
      </c>
      <c r="D39" s="1" t="s">
        <v>288</v>
      </c>
      <c r="E39">
        <v>9</v>
      </c>
    </row>
    <row r="40" spans="1:5" x14ac:dyDescent="0.2">
      <c r="A40">
        <v>10014729</v>
      </c>
      <c r="B40">
        <v>23300884</v>
      </c>
      <c r="C40">
        <v>10</v>
      </c>
      <c r="D40" s="1" t="s">
        <v>289</v>
      </c>
      <c r="E40">
        <v>9</v>
      </c>
    </row>
    <row r="41" spans="1:5" x14ac:dyDescent="0.2">
      <c r="A41">
        <v>10014729</v>
      </c>
      <c r="B41">
        <v>23300884</v>
      </c>
      <c r="C41">
        <v>8</v>
      </c>
      <c r="D41" s="1" t="s">
        <v>290</v>
      </c>
      <c r="E41">
        <v>9</v>
      </c>
    </row>
    <row r="42" spans="1:5" x14ac:dyDescent="0.2">
      <c r="A42">
        <v>10018501</v>
      </c>
      <c r="B42">
        <v>28479513</v>
      </c>
      <c r="C42">
        <v>3</v>
      </c>
      <c r="D42" s="1" t="s">
        <v>291</v>
      </c>
      <c r="E42">
        <v>9</v>
      </c>
    </row>
    <row r="43" spans="1:5" x14ac:dyDescent="0.2">
      <c r="A43">
        <v>10018501</v>
      </c>
      <c r="B43">
        <v>28479513</v>
      </c>
      <c r="C43">
        <v>1</v>
      </c>
      <c r="D43" s="1" t="s">
        <v>292</v>
      </c>
      <c r="E43">
        <v>9</v>
      </c>
    </row>
    <row r="44" spans="1:5" x14ac:dyDescent="0.2">
      <c r="A44">
        <v>10018501</v>
      </c>
      <c r="B44">
        <v>28479513</v>
      </c>
      <c r="C44">
        <v>8</v>
      </c>
      <c r="D44" s="1" t="s">
        <v>293</v>
      </c>
      <c r="E44">
        <v>9</v>
      </c>
    </row>
    <row r="45" spans="1:5" x14ac:dyDescent="0.2">
      <c r="A45">
        <v>10018501</v>
      </c>
      <c r="B45">
        <v>28479513</v>
      </c>
      <c r="C45">
        <v>4</v>
      </c>
      <c r="D45" s="1" t="s">
        <v>294</v>
      </c>
      <c r="E45">
        <v>9</v>
      </c>
    </row>
    <row r="46" spans="1:5" x14ac:dyDescent="0.2">
      <c r="A46">
        <v>10018501</v>
      </c>
      <c r="B46">
        <v>28479513</v>
      </c>
      <c r="C46">
        <v>9</v>
      </c>
      <c r="D46" s="1" t="s">
        <v>295</v>
      </c>
      <c r="E46">
        <v>9</v>
      </c>
    </row>
    <row r="47" spans="1:5" x14ac:dyDescent="0.2">
      <c r="A47">
        <v>10018501</v>
      </c>
      <c r="B47">
        <v>28479513</v>
      </c>
      <c r="C47">
        <v>7</v>
      </c>
      <c r="D47" s="1" t="s">
        <v>296</v>
      </c>
      <c r="E47">
        <v>9</v>
      </c>
    </row>
    <row r="48" spans="1:5" x14ac:dyDescent="0.2">
      <c r="A48">
        <v>10018501</v>
      </c>
      <c r="B48">
        <v>28479513</v>
      </c>
      <c r="C48">
        <v>6</v>
      </c>
      <c r="D48" s="1" t="s">
        <v>297</v>
      </c>
      <c r="E48">
        <v>9</v>
      </c>
    </row>
    <row r="49" spans="1:5" x14ac:dyDescent="0.2">
      <c r="A49">
        <v>10018501</v>
      </c>
      <c r="B49">
        <v>28479513</v>
      </c>
      <c r="C49">
        <v>5</v>
      </c>
      <c r="D49" s="1" t="s">
        <v>298</v>
      </c>
      <c r="E49">
        <v>9</v>
      </c>
    </row>
    <row r="50" spans="1:5" x14ac:dyDescent="0.2">
      <c r="A50">
        <v>10018501</v>
      </c>
      <c r="B50">
        <v>28479513</v>
      </c>
      <c r="C50">
        <v>10</v>
      </c>
      <c r="D50" s="1" t="s">
        <v>258</v>
      </c>
      <c r="E50">
        <v>9</v>
      </c>
    </row>
    <row r="51" spans="1:5" x14ac:dyDescent="0.2">
      <c r="A51">
        <v>10018501</v>
      </c>
      <c r="B51">
        <v>28479513</v>
      </c>
      <c r="C51">
        <v>2</v>
      </c>
      <c r="D51" s="1" t="s">
        <v>299</v>
      </c>
      <c r="E51">
        <v>9</v>
      </c>
    </row>
    <row r="52" spans="1:5" x14ac:dyDescent="0.2">
      <c r="A52">
        <v>10001217</v>
      </c>
      <c r="B52">
        <v>24597018</v>
      </c>
      <c r="C52">
        <v>9</v>
      </c>
      <c r="D52" s="1" t="s">
        <v>300</v>
      </c>
      <c r="E52">
        <v>9</v>
      </c>
    </row>
    <row r="53" spans="1:5" x14ac:dyDescent="0.2">
      <c r="A53">
        <v>10001217</v>
      </c>
      <c r="B53">
        <v>24597018</v>
      </c>
      <c r="C53">
        <v>10</v>
      </c>
      <c r="D53" s="1" t="s">
        <v>301</v>
      </c>
      <c r="E53">
        <v>9</v>
      </c>
    </row>
    <row r="54" spans="1:5" x14ac:dyDescent="0.2">
      <c r="A54">
        <v>10001217</v>
      </c>
      <c r="B54">
        <v>24597018</v>
      </c>
      <c r="C54">
        <v>6</v>
      </c>
      <c r="D54" s="1" t="s">
        <v>302</v>
      </c>
      <c r="E54">
        <v>9</v>
      </c>
    </row>
    <row r="55" spans="1:5" x14ac:dyDescent="0.2">
      <c r="A55">
        <v>10001217</v>
      </c>
      <c r="B55">
        <v>24597018</v>
      </c>
      <c r="C55">
        <v>3</v>
      </c>
      <c r="D55" s="1" t="s">
        <v>303</v>
      </c>
      <c r="E55">
        <v>9</v>
      </c>
    </row>
    <row r="56" spans="1:5" x14ac:dyDescent="0.2">
      <c r="A56">
        <v>10001217</v>
      </c>
      <c r="B56">
        <v>24597018</v>
      </c>
      <c r="C56">
        <v>8</v>
      </c>
      <c r="D56" s="1" t="s">
        <v>296</v>
      </c>
      <c r="E56">
        <v>9</v>
      </c>
    </row>
    <row r="57" spans="1:5" x14ac:dyDescent="0.2">
      <c r="A57">
        <v>10001217</v>
      </c>
      <c r="B57">
        <v>24597018</v>
      </c>
      <c r="C57">
        <v>2</v>
      </c>
      <c r="D57" s="1" t="s">
        <v>304</v>
      </c>
      <c r="E57">
        <v>9</v>
      </c>
    </row>
    <row r="58" spans="1:5" x14ac:dyDescent="0.2">
      <c r="A58">
        <v>10001217</v>
      </c>
      <c r="B58">
        <v>24597018</v>
      </c>
      <c r="C58">
        <v>1</v>
      </c>
      <c r="D58" s="1" t="s">
        <v>305</v>
      </c>
      <c r="E58">
        <v>9</v>
      </c>
    </row>
    <row r="59" spans="1:5" x14ac:dyDescent="0.2">
      <c r="A59">
        <v>10001217</v>
      </c>
      <c r="B59">
        <v>24597018</v>
      </c>
      <c r="C59">
        <v>5</v>
      </c>
      <c r="D59" s="1" t="s">
        <v>306</v>
      </c>
      <c r="E59">
        <v>9</v>
      </c>
    </row>
    <row r="60" spans="1:5" x14ac:dyDescent="0.2">
      <c r="A60">
        <v>10001217</v>
      </c>
      <c r="B60">
        <v>24597018</v>
      </c>
      <c r="C60">
        <v>4</v>
      </c>
      <c r="D60" s="1" t="s">
        <v>307</v>
      </c>
      <c r="E60">
        <v>9</v>
      </c>
    </row>
    <row r="61" spans="1:5" x14ac:dyDescent="0.2">
      <c r="A61">
        <v>10001217</v>
      </c>
      <c r="B61">
        <v>24597018</v>
      </c>
      <c r="C61">
        <v>7</v>
      </c>
      <c r="D61" s="1" t="s">
        <v>308</v>
      </c>
      <c r="E61">
        <v>9</v>
      </c>
    </row>
    <row r="62" spans="1:5" x14ac:dyDescent="0.2">
      <c r="A62">
        <v>10026354</v>
      </c>
      <c r="B62">
        <v>24547356</v>
      </c>
      <c r="C62">
        <v>4</v>
      </c>
      <c r="D62" s="1" t="s">
        <v>309</v>
      </c>
      <c r="E62">
        <v>10</v>
      </c>
    </row>
    <row r="63" spans="1:5" x14ac:dyDescent="0.2">
      <c r="A63">
        <v>10026354</v>
      </c>
      <c r="B63">
        <v>24547356</v>
      </c>
      <c r="C63">
        <v>5</v>
      </c>
      <c r="D63" s="1" t="s">
        <v>310</v>
      </c>
      <c r="E63">
        <v>10</v>
      </c>
    </row>
    <row r="64" spans="1:5" x14ac:dyDescent="0.2">
      <c r="A64">
        <v>10026354</v>
      </c>
      <c r="B64">
        <v>24547356</v>
      </c>
      <c r="C64">
        <v>2</v>
      </c>
      <c r="D64" s="1" t="s">
        <v>311</v>
      </c>
      <c r="E64">
        <v>10</v>
      </c>
    </row>
    <row r="65" spans="1:5" x14ac:dyDescent="0.2">
      <c r="A65">
        <v>10026354</v>
      </c>
      <c r="B65">
        <v>24547356</v>
      </c>
      <c r="C65">
        <v>6</v>
      </c>
      <c r="D65" s="1" t="s">
        <v>312</v>
      </c>
      <c r="E65">
        <v>10</v>
      </c>
    </row>
    <row r="66" spans="1:5" x14ac:dyDescent="0.2">
      <c r="A66">
        <v>10026354</v>
      </c>
      <c r="B66">
        <v>24547356</v>
      </c>
      <c r="C66">
        <v>7</v>
      </c>
      <c r="D66" s="1" t="s">
        <v>313</v>
      </c>
      <c r="E66">
        <v>10</v>
      </c>
    </row>
    <row r="67" spans="1:5" x14ac:dyDescent="0.2">
      <c r="A67">
        <v>10026354</v>
      </c>
      <c r="B67">
        <v>24547356</v>
      </c>
      <c r="C67">
        <v>1</v>
      </c>
      <c r="D67" s="1" t="s">
        <v>314</v>
      </c>
      <c r="E67">
        <v>10</v>
      </c>
    </row>
    <row r="68" spans="1:5" x14ac:dyDescent="0.2">
      <c r="A68">
        <v>10026354</v>
      </c>
      <c r="B68">
        <v>24547356</v>
      </c>
      <c r="C68">
        <v>8</v>
      </c>
      <c r="D68" s="1" t="s">
        <v>315</v>
      </c>
      <c r="E68">
        <v>10</v>
      </c>
    </row>
    <row r="69" spans="1:5" x14ac:dyDescent="0.2">
      <c r="A69">
        <v>10026354</v>
      </c>
      <c r="B69">
        <v>24547356</v>
      </c>
      <c r="C69">
        <v>3</v>
      </c>
      <c r="D69" s="1" t="s">
        <v>316</v>
      </c>
      <c r="E69">
        <v>10</v>
      </c>
    </row>
    <row r="70" spans="1:5" x14ac:dyDescent="0.2">
      <c r="A70">
        <v>10023771</v>
      </c>
      <c r="B70">
        <v>20044587</v>
      </c>
      <c r="C70">
        <v>3</v>
      </c>
      <c r="D70" s="1" t="s">
        <v>317</v>
      </c>
      <c r="E70">
        <v>9</v>
      </c>
    </row>
    <row r="71" spans="1:5" x14ac:dyDescent="0.2">
      <c r="A71">
        <v>10023771</v>
      </c>
      <c r="B71">
        <v>20044587</v>
      </c>
      <c r="C71">
        <v>4</v>
      </c>
      <c r="D71" s="1" t="s">
        <v>318</v>
      </c>
      <c r="E71">
        <v>9</v>
      </c>
    </row>
    <row r="72" spans="1:5" x14ac:dyDescent="0.2">
      <c r="A72">
        <v>10023771</v>
      </c>
      <c r="B72">
        <v>20044587</v>
      </c>
      <c r="C72">
        <v>6</v>
      </c>
      <c r="D72" s="1" t="s">
        <v>296</v>
      </c>
      <c r="E72">
        <v>9</v>
      </c>
    </row>
    <row r="73" spans="1:5" x14ac:dyDescent="0.2">
      <c r="A73">
        <v>10023771</v>
      </c>
      <c r="B73">
        <v>20044587</v>
      </c>
      <c r="C73">
        <v>1</v>
      </c>
      <c r="D73" s="1" t="s">
        <v>253</v>
      </c>
      <c r="E73">
        <v>9</v>
      </c>
    </row>
    <row r="74" spans="1:5" x14ac:dyDescent="0.2">
      <c r="A74">
        <v>10023771</v>
      </c>
      <c r="B74">
        <v>20044587</v>
      </c>
      <c r="C74">
        <v>5</v>
      </c>
      <c r="D74" s="1" t="s">
        <v>259</v>
      </c>
      <c r="E74">
        <v>9</v>
      </c>
    </row>
    <row r="75" spans="1:5" x14ac:dyDescent="0.2">
      <c r="A75">
        <v>10023771</v>
      </c>
      <c r="B75">
        <v>20044587</v>
      </c>
      <c r="C75">
        <v>7</v>
      </c>
      <c r="D75" s="1" t="s">
        <v>281</v>
      </c>
      <c r="E75">
        <v>9</v>
      </c>
    </row>
    <row r="76" spans="1:5" x14ac:dyDescent="0.2">
      <c r="A76">
        <v>10023771</v>
      </c>
      <c r="B76">
        <v>20044587</v>
      </c>
      <c r="C76">
        <v>2</v>
      </c>
      <c r="D76" s="1" t="s">
        <v>319</v>
      </c>
      <c r="E76">
        <v>9</v>
      </c>
    </row>
    <row r="77" spans="1:5" x14ac:dyDescent="0.2">
      <c r="A77">
        <v>10023771</v>
      </c>
      <c r="B77">
        <v>20044587</v>
      </c>
      <c r="C77">
        <v>8</v>
      </c>
      <c r="D77" s="1" t="s">
        <v>320</v>
      </c>
      <c r="E77">
        <v>9</v>
      </c>
    </row>
    <row r="78" spans="1:5" x14ac:dyDescent="0.2">
      <c r="A78">
        <v>10009628</v>
      </c>
      <c r="B78">
        <v>25926192</v>
      </c>
      <c r="C78">
        <v>5</v>
      </c>
      <c r="D78" s="1" t="s">
        <v>321</v>
      </c>
      <c r="E78">
        <v>9</v>
      </c>
    </row>
    <row r="79" spans="1:5" x14ac:dyDescent="0.2">
      <c r="A79">
        <v>10009628</v>
      </c>
      <c r="B79">
        <v>25926192</v>
      </c>
      <c r="C79">
        <v>8</v>
      </c>
      <c r="D79" s="1" t="s">
        <v>259</v>
      </c>
      <c r="E79">
        <v>9</v>
      </c>
    </row>
    <row r="80" spans="1:5" x14ac:dyDescent="0.2">
      <c r="A80">
        <v>10009628</v>
      </c>
      <c r="B80">
        <v>25926192</v>
      </c>
      <c r="C80">
        <v>3</v>
      </c>
      <c r="D80" s="1" t="s">
        <v>320</v>
      </c>
      <c r="E80">
        <v>9</v>
      </c>
    </row>
    <row r="81" spans="1:5" x14ac:dyDescent="0.2">
      <c r="A81">
        <v>10009628</v>
      </c>
      <c r="B81">
        <v>25926192</v>
      </c>
      <c r="C81">
        <v>6</v>
      </c>
      <c r="D81" s="1" t="s">
        <v>260</v>
      </c>
      <c r="E81">
        <v>9</v>
      </c>
    </row>
    <row r="82" spans="1:5" x14ac:dyDescent="0.2">
      <c r="A82">
        <v>10009628</v>
      </c>
      <c r="B82">
        <v>25926192</v>
      </c>
      <c r="C82">
        <v>4</v>
      </c>
      <c r="D82" s="1" t="s">
        <v>322</v>
      </c>
      <c r="E82">
        <v>9</v>
      </c>
    </row>
    <row r="83" spans="1:5" x14ac:dyDescent="0.2">
      <c r="A83">
        <v>10009628</v>
      </c>
      <c r="B83">
        <v>25926192</v>
      </c>
      <c r="C83">
        <v>1</v>
      </c>
      <c r="D83" s="1" t="s">
        <v>253</v>
      </c>
      <c r="E83">
        <v>9</v>
      </c>
    </row>
    <row r="84" spans="1:5" x14ac:dyDescent="0.2">
      <c r="A84">
        <v>10009628</v>
      </c>
      <c r="B84">
        <v>25926192</v>
      </c>
      <c r="C84">
        <v>2</v>
      </c>
      <c r="D84" s="1" t="s">
        <v>323</v>
      </c>
      <c r="E84">
        <v>9</v>
      </c>
    </row>
    <row r="85" spans="1:5" x14ac:dyDescent="0.2">
      <c r="A85">
        <v>10009628</v>
      </c>
      <c r="B85">
        <v>25926192</v>
      </c>
      <c r="C85">
        <v>7</v>
      </c>
      <c r="D85" s="1" t="s">
        <v>272</v>
      </c>
      <c r="E85">
        <v>9</v>
      </c>
    </row>
    <row r="86" spans="1:5" x14ac:dyDescent="0.2">
      <c r="A86">
        <v>10022017</v>
      </c>
      <c r="B86">
        <v>22342963</v>
      </c>
      <c r="C86">
        <v>5</v>
      </c>
      <c r="D86" s="1" t="s">
        <v>324</v>
      </c>
      <c r="E86">
        <v>10</v>
      </c>
    </row>
    <row r="87" spans="1:5" x14ac:dyDescent="0.2">
      <c r="A87">
        <v>10022017</v>
      </c>
      <c r="B87">
        <v>22342963</v>
      </c>
      <c r="C87">
        <v>3</v>
      </c>
      <c r="D87" s="1" t="s">
        <v>325</v>
      </c>
      <c r="E87">
        <v>10</v>
      </c>
    </row>
    <row r="88" spans="1:5" x14ac:dyDescent="0.2">
      <c r="A88">
        <v>10022017</v>
      </c>
      <c r="B88">
        <v>22342963</v>
      </c>
      <c r="C88">
        <v>14</v>
      </c>
      <c r="D88" s="1" t="s">
        <v>326</v>
      </c>
      <c r="E88">
        <v>10</v>
      </c>
    </row>
    <row r="89" spans="1:5" x14ac:dyDescent="0.2">
      <c r="A89">
        <v>10022017</v>
      </c>
      <c r="B89">
        <v>22342963</v>
      </c>
      <c r="C89">
        <v>4</v>
      </c>
      <c r="D89" s="1" t="s">
        <v>327</v>
      </c>
      <c r="E89">
        <v>10</v>
      </c>
    </row>
    <row r="90" spans="1:5" x14ac:dyDescent="0.2">
      <c r="A90">
        <v>10022017</v>
      </c>
      <c r="B90">
        <v>22342963</v>
      </c>
      <c r="C90">
        <v>11</v>
      </c>
      <c r="D90" s="1" t="s">
        <v>328</v>
      </c>
      <c r="E90">
        <v>10</v>
      </c>
    </row>
    <row r="91" spans="1:5" x14ac:dyDescent="0.2">
      <c r="A91">
        <v>10022017</v>
      </c>
      <c r="B91">
        <v>22342963</v>
      </c>
      <c r="C91">
        <v>12</v>
      </c>
      <c r="D91" s="1" t="s">
        <v>329</v>
      </c>
      <c r="E91">
        <v>10</v>
      </c>
    </row>
    <row r="92" spans="1:5" x14ac:dyDescent="0.2">
      <c r="A92">
        <v>10022017</v>
      </c>
      <c r="B92">
        <v>22342963</v>
      </c>
      <c r="C92">
        <v>2</v>
      </c>
      <c r="D92" s="1" t="s">
        <v>330</v>
      </c>
      <c r="E92">
        <v>10</v>
      </c>
    </row>
    <row r="93" spans="1:5" x14ac:dyDescent="0.2">
      <c r="A93">
        <v>10022017</v>
      </c>
      <c r="B93">
        <v>22342963</v>
      </c>
      <c r="C93">
        <v>8</v>
      </c>
      <c r="D93" s="1" t="s">
        <v>331</v>
      </c>
      <c r="E93">
        <v>10</v>
      </c>
    </row>
    <row r="94" spans="1:5" x14ac:dyDescent="0.2">
      <c r="A94">
        <v>10022017</v>
      </c>
      <c r="B94">
        <v>22342963</v>
      </c>
      <c r="C94">
        <v>10</v>
      </c>
      <c r="D94" s="1" t="s">
        <v>332</v>
      </c>
      <c r="E94">
        <v>10</v>
      </c>
    </row>
    <row r="95" spans="1:5" x14ac:dyDescent="0.2">
      <c r="A95">
        <v>10022017</v>
      </c>
      <c r="B95">
        <v>22342963</v>
      </c>
      <c r="C95">
        <v>13</v>
      </c>
      <c r="D95" s="1" t="s">
        <v>333</v>
      </c>
      <c r="E95">
        <v>10</v>
      </c>
    </row>
    <row r="96" spans="1:5" x14ac:dyDescent="0.2">
      <c r="A96">
        <v>10022017</v>
      </c>
      <c r="B96">
        <v>22342963</v>
      </c>
      <c r="C96">
        <v>6</v>
      </c>
      <c r="D96" s="1" t="s">
        <v>334</v>
      </c>
      <c r="E96">
        <v>10</v>
      </c>
    </row>
    <row r="97" spans="1:5" x14ac:dyDescent="0.2">
      <c r="A97">
        <v>10022017</v>
      </c>
      <c r="B97">
        <v>22342963</v>
      </c>
      <c r="C97">
        <v>1</v>
      </c>
      <c r="D97" s="1" t="s">
        <v>335</v>
      </c>
      <c r="E97">
        <v>10</v>
      </c>
    </row>
    <row r="98" spans="1:5" x14ac:dyDescent="0.2">
      <c r="A98">
        <v>10022017</v>
      </c>
      <c r="B98">
        <v>22342963</v>
      </c>
      <c r="C98">
        <v>9</v>
      </c>
      <c r="D98" s="1" t="s">
        <v>336</v>
      </c>
      <c r="E98">
        <v>10</v>
      </c>
    </row>
    <row r="99" spans="1:5" x14ac:dyDescent="0.2">
      <c r="A99">
        <v>10022017</v>
      </c>
      <c r="B99">
        <v>22342963</v>
      </c>
      <c r="C99">
        <v>15</v>
      </c>
      <c r="D99" s="1" t="s">
        <v>337</v>
      </c>
      <c r="E99">
        <v>10</v>
      </c>
    </row>
    <row r="100" spans="1:5" x14ac:dyDescent="0.2">
      <c r="A100">
        <v>10022017</v>
      </c>
      <c r="B100">
        <v>22342963</v>
      </c>
      <c r="C100">
        <v>7</v>
      </c>
      <c r="D100" s="1" t="s">
        <v>338</v>
      </c>
      <c r="E100">
        <v>10</v>
      </c>
    </row>
    <row r="101" spans="1:5" x14ac:dyDescent="0.2">
      <c r="A101">
        <v>10022041</v>
      </c>
      <c r="B101">
        <v>28909879</v>
      </c>
      <c r="C101">
        <v>8</v>
      </c>
      <c r="D101" s="1" t="s">
        <v>339</v>
      </c>
      <c r="E101">
        <v>9</v>
      </c>
    </row>
    <row r="102" spans="1:5" x14ac:dyDescent="0.2">
      <c r="A102">
        <v>10022041</v>
      </c>
      <c r="B102">
        <v>28909879</v>
      </c>
      <c r="C102">
        <v>1</v>
      </c>
      <c r="D102" s="1" t="s">
        <v>291</v>
      </c>
      <c r="E102">
        <v>9</v>
      </c>
    </row>
    <row r="103" spans="1:5" x14ac:dyDescent="0.2">
      <c r="A103">
        <v>10022041</v>
      </c>
      <c r="B103">
        <v>28909879</v>
      </c>
      <c r="C103">
        <v>6</v>
      </c>
      <c r="D103" s="1" t="s">
        <v>340</v>
      </c>
      <c r="E103">
        <v>9</v>
      </c>
    </row>
    <row r="104" spans="1:5" x14ac:dyDescent="0.2">
      <c r="A104">
        <v>10022041</v>
      </c>
      <c r="B104">
        <v>28909879</v>
      </c>
      <c r="C104">
        <v>5</v>
      </c>
      <c r="D104" s="1" t="s">
        <v>259</v>
      </c>
      <c r="E104">
        <v>9</v>
      </c>
    </row>
    <row r="105" spans="1:5" x14ac:dyDescent="0.2">
      <c r="A105">
        <v>10022041</v>
      </c>
      <c r="B105">
        <v>28909879</v>
      </c>
      <c r="C105">
        <v>7</v>
      </c>
      <c r="D105" s="1" t="s">
        <v>341</v>
      </c>
      <c r="E105">
        <v>9</v>
      </c>
    </row>
    <row r="106" spans="1:5" x14ac:dyDescent="0.2">
      <c r="A106">
        <v>10022041</v>
      </c>
      <c r="B106">
        <v>28909879</v>
      </c>
      <c r="C106">
        <v>9</v>
      </c>
      <c r="D106" s="1" t="s">
        <v>342</v>
      </c>
      <c r="E106">
        <v>9</v>
      </c>
    </row>
    <row r="107" spans="1:5" x14ac:dyDescent="0.2">
      <c r="A107">
        <v>10022041</v>
      </c>
      <c r="B107">
        <v>28909879</v>
      </c>
      <c r="C107">
        <v>3</v>
      </c>
      <c r="D107" s="1" t="s">
        <v>343</v>
      </c>
      <c r="E107">
        <v>9</v>
      </c>
    </row>
    <row r="108" spans="1:5" x14ac:dyDescent="0.2">
      <c r="A108">
        <v>10022041</v>
      </c>
      <c r="B108">
        <v>28909879</v>
      </c>
      <c r="C108">
        <v>2</v>
      </c>
      <c r="D108" s="1" t="s">
        <v>344</v>
      </c>
      <c r="E108">
        <v>9</v>
      </c>
    </row>
    <row r="109" spans="1:5" x14ac:dyDescent="0.2">
      <c r="A109">
        <v>10022041</v>
      </c>
      <c r="B109">
        <v>28909879</v>
      </c>
      <c r="C109">
        <v>4</v>
      </c>
      <c r="D109" s="1" t="s">
        <v>296</v>
      </c>
      <c r="E109">
        <v>9</v>
      </c>
    </row>
    <row r="110" spans="1:5" x14ac:dyDescent="0.2">
      <c r="A110">
        <v>10018845</v>
      </c>
      <c r="B110">
        <v>21101111</v>
      </c>
      <c r="C110">
        <v>3</v>
      </c>
      <c r="D110" s="1" t="s">
        <v>345</v>
      </c>
      <c r="E110">
        <v>9</v>
      </c>
    </row>
    <row r="111" spans="1:5" x14ac:dyDescent="0.2">
      <c r="A111">
        <v>10018845</v>
      </c>
      <c r="B111">
        <v>21101111</v>
      </c>
      <c r="C111">
        <v>1</v>
      </c>
      <c r="D111" s="1" t="s">
        <v>346</v>
      </c>
      <c r="E111">
        <v>9</v>
      </c>
    </row>
    <row r="112" spans="1:5" x14ac:dyDescent="0.2">
      <c r="A112">
        <v>10018845</v>
      </c>
      <c r="B112">
        <v>21101111</v>
      </c>
      <c r="C112">
        <v>7</v>
      </c>
      <c r="D112" s="1" t="s">
        <v>347</v>
      </c>
      <c r="E112">
        <v>9</v>
      </c>
    </row>
    <row r="113" spans="1:5" x14ac:dyDescent="0.2">
      <c r="A113">
        <v>10018845</v>
      </c>
      <c r="B113">
        <v>21101111</v>
      </c>
      <c r="C113">
        <v>11</v>
      </c>
      <c r="D113" s="1" t="s">
        <v>348</v>
      </c>
      <c r="E113">
        <v>9</v>
      </c>
    </row>
    <row r="114" spans="1:5" x14ac:dyDescent="0.2">
      <c r="A114">
        <v>10018845</v>
      </c>
      <c r="B114">
        <v>21101111</v>
      </c>
      <c r="C114">
        <v>4</v>
      </c>
      <c r="D114" s="1" t="s">
        <v>349</v>
      </c>
      <c r="E114">
        <v>9</v>
      </c>
    </row>
    <row r="115" spans="1:5" x14ac:dyDescent="0.2">
      <c r="A115">
        <v>10018845</v>
      </c>
      <c r="B115">
        <v>21101111</v>
      </c>
      <c r="C115">
        <v>12</v>
      </c>
      <c r="D115" s="1" t="s">
        <v>253</v>
      </c>
      <c r="E115">
        <v>9</v>
      </c>
    </row>
    <row r="116" spans="1:5" x14ac:dyDescent="0.2">
      <c r="A116">
        <v>10018845</v>
      </c>
      <c r="B116">
        <v>21101111</v>
      </c>
      <c r="C116">
        <v>5</v>
      </c>
      <c r="D116" s="1" t="s">
        <v>340</v>
      </c>
      <c r="E116">
        <v>9</v>
      </c>
    </row>
    <row r="117" spans="1:5" x14ac:dyDescent="0.2">
      <c r="A117">
        <v>10018845</v>
      </c>
      <c r="B117">
        <v>21101111</v>
      </c>
      <c r="C117">
        <v>8</v>
      </c>
      <c r="D117" s="1" t="s">
        <v>259</v>
      </c>
      <c r="E117">
        <v>9</v>
      </c>
    </row>
    <row r="118" spans="1:5" x14ac:dyDescent="0.2">
      <c r="A118">
        <v>10018845</v>
      </c>
      <c r="B118">
        <v>21101111</v>
      </c>
      <c r="C118">
        <v>9</v>
      </c>
      <c r="D118" s="1" t="s">
        <v>350</v>
      </c>
      <c r="E118">
        <v>9</v>
      </c>
    </row>
    <row r="119" spans="1:5" x14ac:dyDescent="0.2">
      <c r="A119">
        <v>10018845</v>
      </c>
      <c r="B119">
        <v>21101111</v>
      </c>
      <c r="C119">
        <v>10</v>
      </c>
      <c r="D119" s="1" t="s">
        <v>351</v>
      </c>
      <c r="E119">
        <v>9</v>
      </c>
    </row>
    <row r="120" spans="1:5" x14ac:dyDescent="0.2">
      <c r="A120">
        <v>10018845</v>
      </c>
      <c r="B120">
        <v>21101111</v>
      </c>
      <c r="C120">
        <v>2</v>
      </c>
      <c r="D120" s="1" t="s">
        <v>352</v>
      </c>
      <c r="E120">
        <v>9</v>
      </c>
    </row>
    <row r="121" spans="1:5" x14ac:dyDescent="0.2">
      <c r="A121">
        <v>10018845</v>
      </c>
      <c r="B121">
        <v>21101111</v>
      </c>
      <c r="C121">
        <v>6</v>
      </c>
      <c r="D121" s="1" t="s">
        <v>353</v>
      </c>
      <c r="E121">
        <v>9</v>
      </c>
    </row>
    <row r="122" spans="1:5" x14ac:dyDescent="0.2">
      <c r="A122">
        <v>10013049</v>
      </c>
      <c r="B122">
        <v>22675517</v>
      </c>
      <c r="C122">
        <v>5</v>
      </c>
      <c r="D122" s="1" t="s">
        <v>354</v>
      </c>
      <c r="E122">
        <v>9</v>
      </c>
    </row>
    <row r="123" spans="1:5" x14ac:dyDescent="0.2">
      <c r="A123">
        <v>10013049</v>
      </c>
      <c r="B123">
        <v>22675517</v>
      </c>
      <c r="C123">
        <v>3</v>
      </c>
      <c r="D123" s="1" t="s">
        <v>355</v>
      </c>
      <c r="E123">
        <v>9</v>
      </c>
    </row>
    <row r="124" spans="1:5" x14ac:dyDescent="0.2">
      <c r="A124">
        <v>10013049</v>
      </c>
      <c r="B124">
        <v>22675517</v>
      </c>
      <c r="C124">
        <v>1</v>
      </c>
      <c r="D124" s="1" t="s">
        <v>356</v>
      </c>
      <c r="E124">
        <v>9</v>
      </c>
    </row>
    <row r="125" spans="1:5" x14ac:dyDescent="0.2">
      <c r="A125">
        <v>10013049</v>
      </c>
      <c r="B125">
        <v>22675517</v>
      </c>
      <c r="C125">
        <v>4</v>
      </c>
      <c r="D125" s="1" t="s">
        <v>357</v>
      </c>
      <c r="E125">
        <v>9</v>
      </c>
    </row>
    <row r="126" spans="1:5" x14ac:dyDescent="0.2">
      <c r="A126">
        <v>10013049</v>
      </c>
      <c r="B126">
        <v>22675517</v>
      </c>
      <c r="C126">
        <v>2</v>
      </c>
      <c r="D126" s="1" t="s">
        <v>358</v>
      </c>
      <c r="E126">
        <v>9</v>
      </c>
    </row>
    <row r="127" spans="1:5" x14ac:dyDescent="0.2">
      <c r="A127">
        <v>10025463</v>
      </c>
      <c r="B127">
        <v>27327816</v>
      </c>
      <c r="C127">
        <v>5</v>
      </c>
      <c r="D127" s="1" t="s">
        <v>359</v>
      </c>
      <c r="E127">
        <v>9</v>
      </c>
    </row>
    <row r="128" spans="1:5" x14ac:dyDescent="0.2">
      <c r="A128">
        <v>10025463</v>
      </c>
      <c r="B128">
        <v>27327816</v>
      </c>
      <c r="C128">
        <v>2</v>
      </c>
      <c r="D128" s="1" t="s">
        <v>296</v>
      </c>
      <c r="E128">
        <v>9</v>
      </c>
    </row>
    <row r="129" spans="1:5" x14ac:dyDescent="0.2">
      <c r="A129">
        <v>10025463</v>
      </c>
      <c r="B129">
        <v>27327816</v>
      </c>
      <c r="C129">
        <v>1</v>
      </c>
      <c r="D129" s="1" t="s">
        <v>320</v>
      </c>
      <c r="E129">
        <v>9</v>
      </c>
    </row>
    <row r="130" spans="1:5" x14ac:dyDescent="0.2">
      <c r="A130">
        <v>10025463</v>
      </c>
      <c r="B130">
        <v>27327816</v>
      </c>
      <c r="C130">
        <v>3</v>
      </c>
      <c r="D130" s="1" t="s">
        <v>259</v>
      </c>
      <c r="E130">
        <v>9</v>
      </c>
    </row>
    <row r="131" spans="1:5" x14ac:dyDescent="0.2">
      <c r="A131">
        <v>10025463</v>
      </c>
      <c r="B131">
        <v>27327816</v>
      </c>
      <c r="C131">
        <v>4</v>
      </c>
      <c r="D131" s="1" t="s">
        <v>360</v>
      </c>
      <c r="E131">
        <v>9</v>
      </c>
    </row>
    <row r="132" spans="1:5" x14ac:dyDescent="0.2">
      <c r="A132">
        <v>10008287</v>
      </c>
      <c r="B132">
        <v>22168393</v>
      </c>
      <c r="C132">
        <v>2</v>
      </c>
      <c r="D132" s="1" t="s">
        <v>361</v>
      </c>
      <c r="E132">
        <v>10</v>
      </c>
    </row>
    <row r="133" spans="1:5" x14ac:dyDescent="0.2">
      <c r="A133">
        <v>10008287</v>
      </c>
      <c r="B133">
        <v>22168393</v>
      </c>
      <c r="C133">
        <v>3</v>
      </c>
      <c r="D133" s="1" t="s">
        <v>362</v>
      </c>
      <c r="E133">
        <v>10</v>
      </c>
    </row>
    <row r="134" spans="1:5" x14ac:dyDescent="0.2">
      <c r="A134">
        <v>10008287</v>
      </c>
      <c r="B134">
        <v>22168393</v>
      </c>
      <c r="C134">
        <v>1</v>
      </c>
      <c r="D134" s="1" t="s">
        <v>363</v>
      </c>
      <c r="E134">
        <v>10</v>
      </c>
    </row>
    <row r="135" spans="1:5" x14ac:dyDescent="0.2">
      <c r="A135">
        <v>10019568</v>
      </c>
      <c r="B135">
        <v>28710730</v>
      </c>
      <c r="C135">
        <v>1</v>
      </c>
      <c r="D135" s="1" t="s">
        <v>364</v>
      </c>
      <c r="E135">
        <v>9</v>
      </c>
    </row>
    <row r="136" spans="1:5" x14ac:dyDescent="0.2">
      <c r="A136">
        <v>10019568</v>
      </c>
      <c r="B136">
        <v>28710730</v>
      </c>
      <c r="C136">
        <v>4</v>
      </c>
      <c r="D136" s="1" t="s">
        <v>353</v>
      </c>
      <c r="E136">
        <v>9</v>
      </c>
    </row>
    <row r="137" spans="1:5" x14ac:dyDescent="0.2">
      <c r="A137">
        <v>10019568</v>
      </c>
      <c r="B137">
        <v>28710730</v>
      </c>
      <c r="C137">
        <v>3</v>
      </c>
      <c r="D137" s="1" t="s">
        <v>365</v>
      </c>
      <c r="E137">
        <v>9</v>
      </c>
    </row>
    <row r="138" spans="1:5" x14ac:dyDescent="0.2">
      <c r="A138">
        <v>10019568</v>
      </c>
      <c r="B138">
        <v>28710730</v>
      </c>
      <c r="C138">
        <v>6</v>
      </c>
      <c r="D138" s="1" t="s">
        <v>296</v>
      </c>
      <c r="E138">
        <v>9</v>
      </c>
    </row>
    <row r="139" spans="1:5" x14ac:dyDescent="0.2">
      <c r="A139">
        <v>10019568</v>
      </c>
      <c r="B139">
        <v>28710730</v>
      </c>
      <c r="C139">
        <v>5</v>
      </c>
      <c r="D139" s="1" t="s">
        <v>366</v>
      </c>
      <c r="E139">
        <v>9</v>
      </c>
    </row>
    <row r="140" spans="1:5" x14ac:dyDescent="0.2">
      <c r="A140">
        <v>10019568</v>
      </c>
      <c r="B140">
        <v>28710730</v>
      </c>
      <c r="C140">
        <v>2</v>
      </c>
      <c r="D140" s="1" t="s">
        <v>367</v>
      </c>
      <c r="E140">
        <v>9</v>
      </c>
    </row>
    <row r="141" spans="1:5" x14ac:dyDescent="0.2">
      <c r="A141">
        <v>10014729</v>
      </c>
      <c r="B141">
        <v>28889419</v>
      </c>
      <c r="C141">
        <v>7</v>
      </c>
      <c r="D141" s="1" t="s">
        <v>298</v>
      </c>
      <c r="E141">
        <v>9</v>
      </c>
    </row>
    <row r="142" spans="1:5" x14ac:dyDescent="0.2">
      <c r="A142">
        <v>10014729</v>
      </c>
      <c r="B142">
        <v>28889419</v>
      </c>
      <c r="C142">
        <v>3</v>
      </c>
      <c r="D142" s="1" t="s">
        <v>368</v>
      </c>
      <c r="E142">
        <v>9</v>
      </c>
    </row>
    <row r="143" spans="1:5" x14ac:dyDescent="0.2">
      <c r="A143">
        <v>10014729</v>
      </c>
      <c r="B143">
        <v>28889419</v>
      </c>
      <c r="C143">
        <v>6</v>
      </c>
      <c r="D143" s="1" t="s">
        <v>369</v>
      </c>
      <c r="E143">
        <v>9</v>
      </c>
    </row>
    <row r="144" spans="1:5" x14ac:dyDescent="0.2">
      <c r="A144">
        <v>10014729</v>
      </c>
      <c r="B144">
        <v>28889419</v>
      </c>
      <c r="C144">
        <v>2</v>
      </c>
      <c r="D144" s="1" t="s">
        <v>370</v>
      </c>
      <c r="E144">
        <v>9</v>
      </c>
    </row>
    <row r="145" spans="1:5" x14ac:dyDescent="0.2">
      <c r="A145">
        <v>10014729</v>
      </c>
      <c r="B145">
        <v>28889419</v>
      </c>
      <c r="C145">
        <v>1</v>
      </c>
      <c r="D145" s="1" t="s">
        <v>371</v>
      </c>
      <c r="E145">
        <v>9</v>
      </c>
    </row>
    <row r="146" spans="1:5" x14ac:dyDescent="0.2">
      <c r="A146">
        <v>10014729</v>
      </c>
      <c r="B146">
        <v>28889419</v>
      </c>
      <c r="C146">
        <v>8</v>
      </c>
      <c r="D146" s="1" t="s">
        <v>285</v>
      </c>
      <c r="E146">
        <v>9</v>
      </c>
    </row>
    <row r="147" spans="1:5" x14ac:dyDescent="0.2">
      <c r="A147">
        <v>10014729</v>
      </c>
      <c r="B147">
        <v>28889419</v>
      </c>
      <c r="C147">
        <v>4</v>
      </c>
      <c r="D147" s="1" t="s">
        <v>282</v>
      </c>
      <c r="E147">
        <v>9</v>
      </c>
    </row>
    <row r="148" spans="1:5" x14ac:dyDescent="0.2">
      <c r="A148">
        <v>10014729</v>
      </c>
      <c r="B148">
        <v>28889419</v>
      </c>
      <c r="C148">
        <v>5</v>
      </c>
      <c r="D148" s="1" t="s">
        <v>372</v>
      </c>
      <c r="E148">
        <v>9</v>
      </c>
    </row>
    <row r="149" spans="1:5" x14ac:dyDescent="0.2">
      <c r="A149">
        <v>10020187</v>
      </c>
      <c r="B149">
        <v>26842957</v>
      </c>
      <c r="C149">
        <v>7</v>
      </c>
      <c r="D149" s="1" t="s">
        <v>373</v>
      </c>
      <c r="E149">
        <v>10</v>
      </c>
    </row>
    <row r="150" spans="1:5" x14ac:dyDescent="0.2">
      <c r="A150">
        <v>10020187</v>
      </c>
      <c r="B150">
        <v>26842957</v>
      </c>
      <c r="C150">
        <v>2</v>
      </c>
      <c r="D150" s="1" t="s">
        <v>374</v>
      </c>
      <c r="E150">
        <v>10</v>
      </c>
    </row>
    <row r="151" spans="1:5" x14ac:dyDescent="0.2">
      <c r="A151">
        <v>10020187</v>
      </c>
      <c r="B151">
        <v>26842957</v>
      </c>
      <c r="C151">
        <v>1</v>
      </c>
      <c r="D151" s="1" t="s">
        <v>375</v>
      </c>
      <c r="E151">
        <v>10</v>
      </c>
    </row>
    <row r="152" spans="1:5" x14ac:dyDescent="0.2">
      <c r="A152">
        <v>10020187</v>
      </c>
      <c r="B152">
        <v>26842957</v>
      </c>
      <c r="C152">
        <v>6</v>
      </c>
      <c r="D152" s="1" t="s">
        <v>376</v>
      </c>
      <c r="E152">
        <v>10</v>
      </c>
    </row>
    <row r="153" spans="1:5" x14ac:dyDescent="0.2">
      <c r="A153">
        <v>10020187</v>
      </c>
      <c r="B153">
        <v>26842957</v>
      </c>
      <c r="C153">
        <v>4</v>
      </c>
      <c r="D153" s="1" t="s">
        <v>329</v>
      </c>
      <c r="E153">
        <v>10</v>
      </c>
    </row>
    <row r="154" spans="1:5" x14ac:dyDescent="0.2">
      <c r="A154">
        <v>10020187</v>
      </c>
      <c r="B154">
        <v>26842957</v>
      </c>
      <c r="C154">
        <v>8</v>
      </c>
      <c r="D154" s="1" t="s">
        <v>377</v>
      </c>
      <c r="E154">
        <v>10</v>
      </c>
    </row>
    <row r="155" spans="1:5" x14ac:dyDescent="0.2">
      <c r="A155">
        <v>10020187</v>
      </c>
      <c r="B155">
        <v>26842957</v>
      </c>
      <c r="C155">
        <v>5</v>
      </c>
      <c r="D155" s="1" t="s">
        <v>378</v>
      </c>
      <c r="E155">
        <v>10</v>
      </c>
    </row>
    <row r="156" spans="1:5" x14ac:dyDescent="0.2">
      <c r="A156">
        <v>10020187</v>
      </c>
      <c r="B156">
        <v>26842957</v>
      </c>
      <c r="C156">
        <v>3</v>
      </c>
      <c r="D156" s="1" t="s">
        <v>379</v>
      </c>
      <c r="E156">
        <v>10</v>
      </c>
    </row>
    <row r="157" spans="1:5" x14ac:dyDescent="0.2">
      <c r="A157">
        <v>10020187</v>
      </c>
      <c r="B157">
        <v>26842957</v>
      </c>
      <c r="C157">
        <v>9</v>
      </c>
      <c r="D157" s="1" t="s">
        <v>380</v>
      </c>
      <c r="E157">
        <v>10</v>
      </c>
    </row>
    <row r="158" spans="1:5" x14ac:dyDescent="0.2">
      <c r="A158">
        <v>10016810</v>
      </c>
      <c r="B158">
        <v>20973395</v>
      </c>
      <c r="C158">
        <v>2</v>
      </c>
      <c r="D158" s="1" t="s">
        <v>381</v>
      </c>
      <c r="E158">
        <v>9</v>
      </c>
    </row>
    <row r="159" spans="1:5" x14ac:dyDescent="0.2">
      <c r="A159">
        <v>10016810</v>
      </c>
      <c r="B159">
        <v>20973395</v>
      </c>
      <c r="C159">
        <v>8</v>
      </c>
      <c r="D159" s="1" t="s">
        <v>382</v>
      </c>
      <c r="E159">
        <v>9</v>
      </c>
    </row>
    <row r="160" spans="1:5" x14ac:dyDescent="0.2">
      <c r="A160">
        <v>10016810</v>
      </c>
      <c r="B160">
        <v>20973395</v>
      </c>
      <c r="C160">
        <v>7</v>
      </c>
      <c r="D160" s="1" t="s">
        <v>308</v>
      </c>
      <c r="E160">
        <v>9</v>
      </c>
    </row>
    <row r="161" spans="1:5" x14ac:dyDescent="0.2">
      <c r="A161">
        <v>10016810</v>
      </c>
      <c r="B161">
        <v>20973395</v>
      </c>
      <c r="C161">
        <v>1</v>
      </c>
      <c r="D161" s="1" t="s">
        <v>383</v>
      </c>
      <c r="E161">
        <v>9</v>
      </c>
    </row>
    <row r="162" spans="1:5" x14ac:dyDescent="0.2">
      <c r="A162">
        <v>10016810</v>
      </c>
      <c r="B162">
        <v>20973395</v>
      </c>
      <c r="C162">
        <v>6</v>
      </c>
      <c r="D162" s="1" t="s">
        <v>384</v>
      </c>
      <c r="E162">
        <v>9</v>
      </c>
    </row>
    <row r="163" spans="1:5" x14ac:dyDescent="0.2">
      <c r="A163">
        <v>10016810</v>
      </c>
      <c r="B163">
        <v>20973395</v>
      </c>
      <c r="C163">
        <v>4</v>
      </c>
      <c r="D163" s="1" t="s">
        <v>385</v>
      </c>
      <c r="E163">
        <v>9</v>
      </c>
    </row>
    <row r="164" spans="1:5" x14ac:dyDescent="0.2">
      <c r="A164">
        <v>10016810</v>
      </c>
      <c r="B164">
        <v>20973395</v>
      </c>
      <c r="C164">
        <v>5</v>
      </c>
      <c r="D164" s="1" t="s">
        <v>296</v>
      </c>
      <c r="E164">
        <v>9</v>
      </c>
    </row>
    <row r="165" spans="1:5" x14ac:dyDescent="0.2">
      <c r="A165">
        <v>10016810</v>
      </c>
      <c r="B165">
        <v>20973395</v>
      </c>
      <c r="C165">
        <v>10</v>
      </c>
      <c r="D165" s="1" t="s">
        <v>386</v>
      </c>
      <c r="E165">
        <v>9</v>
      </c>
    </row>
    <row r="166" spans="1:5" x14ac:dyDescent="0.2">
      <c r="A166">
        <v>10016810</v>
      </c>
      <c r="B166">
        <v>20973395</v>
      </c>
      <c r="C166">
        <v>9</v>
      </c>
      <c r="D166" s="1" t="s">
        <v>387</v>
      </c>
      <c r="E166">
        <v>9</v>
      </c>
    </row>
    <row r="167" spans="1:5" x14ac:dyDescent="0.2">
      <c r="A167">
        <v>10016810</v>
      </c>
      <c r="B167">
        <v>20973395</v>
      </c>
      <c r="C167">
        <v>3</v>
      </c>
      <c r="D167" s="1" t="s">
        <v>388</v>
      </c>
      <c r="E167">
        <v>9</v>
      </c>
    </row>
    <row r="168" spans="1:5" x14ac:dyDescent="0.2">
      <c r="A168">
        <v>10038933</v>
      </c>
      <c r="B168">
        <v>25129047</v>
      </c>
      <c r="C168">
        <v>3</v>
      </c>
      <c r="D168" s="1" t="s">
        <v>389</v>
      </c>
      <c r="E168">
        <v>9</v>
      </c>
    </row>
    <row r="169" spans="1:5" x14ac:dyDescent="0.2">
      <c r="A169">
        <v>10038933</v>
      </c>
      <c r="B169">
        <v>25129047</v>
      </c>
      <c r="C169">
        <v>5</v>
      </c>
      <c r="D169" s="1" t="s">
        <v>390</v>
      </c>
      <c r="E169">
        <v>9</v>
      </c>
    </row>
    <row r="170" spans="1:5" x14ac:dyDescent="0.2">
      <c r="A170">
        <v>10038933</v>
      </c>
      <c r="B170">
        <v>25129047</v>
      </c>
      <c r="C170">
        <v>10</v>
      </c>
      <c r="D170" s="1" t="s">
        <v>384</v>
      </c>
      <c r="E170">
        <v>9</v>
      </c>
    </row>
    <row r="171" spans="1:5" x14ac:dyDescent="0.2">
      <c r="A171">
        <v>10038933</v>
      </c>
      <c r="B171">
        <v>25129047</v>
      </c>
      <c r="C171">
        <v>12</v>
      </c>
      <c r="D171" s="1" t="s">
        <v>274</v>
      </c>
      <c r="E171">
        <v>9</v>
      </c>
    </row>
    <row r="172" spans="1:5" x14ac:dyDescent="0.2">
      <c r="A172">
        <v>10038933</v>
      </c>
      <c r="B172">
        <v>25129047</v>
      </c>
      <c r="C172">
        <v>1</v>
      </c>
      <c r="D172" s="1" t="s">
        <v>391</v>
      </c>
      <c r="E172">
        <v>9</v>
      </c>
    </row>
    <row r="173" spans="1:5" x14ac:dyDescent="0.2">
      <c r="A173">
        <v>10038933</v>
      </c>
      <c r="B173">
        <v>25129047</v>
      </c>
      <c r="C173">
        <v>9</v>
      </c>
      <c r="D173" s="1" t="s">
        <v>342</v>
      </c>
      <c r="E173">
        <v>9</v>
      </c>
    </row>
    <row r="174" spans="1:5" x14ac:dyDescent="0.2">
      <c r="A174">
        <v>10038933</v>
      </c>
      <c r="B174">
        <v>25129047</v>
      </c>
      <c r="C174">
        <v>7</v>
      </c>
      <c r="D174" s="1" t="s">
        <v>365</v>
      </c>
      <c r="E174">
        <v>9</v>
      </c>
    </row>
    <row r="175" spans="1:5" x14ac:dyDescent="0.2">
      <c r="A175">
        <v>10038933</v>
      </c>
      <c r="B175">
        <v>25129047</v>
      </c>
      <c r="C175">
        <v>2</v>
      </c>
      <c r="D175" s="1" t="s">
        <v>392</v>
      </c>
      <c r="E175">
        <v>9</v>
      </c>
    </row>
    <row r="176" spans="1:5" x14ac:dyDescent="0.2">
      <c r="A176">
        <v>10038933</v>
      </c>
      <c r="B176">
        <v>25129047</v>
      </c>
      <c r="C176">
        <v>4</v>
      </c>
      <c r="D176" s="1" t="s">
        <v>393</v>
      </c>
      <c r="E176">
        <v>9</v>
      </c>
    </row>
    <row r="177" spans="1:5" x14ac:dyDescent="0.2">
      <c r="A177">
        <v>10038933</v>
      </c>
      <c r="B177">
        <v>25129047</v>
      </c>
      <c r="C177">
        <v>6</v>
      </c>
      <c r="D177" s="1" t="s">
        <v>394</v>
      </c>
      <c r="E177">
        <v>9</v>
      </c>
    </row>
    <row r="178" spans="1:5" x14ac:dyDescent="0.2">
      <c r="A178">
        <v>10038933</v>
      </c>
      <c r="B178">
        <v>25129047</v>
      </c>
      <c r="C178">
        <v>8</v>
      </c>
      <c r="D178" s="1" t="s">
        <v>395</v>
      </c>
      <c r="E178">
        <v>9</v>
      </c>
    </row>
    <row r="179" spans="1:5" x14ac:dyDescent="0.2">
      <c r="A179">
        <v>10038933</v>
      </c>
      <c r="B179">
        <v>25129047</v>
      </c>
      <c r="C179">
        <v>11</v>
      </c>
      <c r="D179" s="1" t="s">
        <v>296</v>
      </c>
      <c r="E179">
        <v>9</v>
      </c>
    </row>
    <row r="180" spans="1:5" x14ac:dyDescent="0.2">
      <c r="A180">
        <v>10020640</v>
      </c>
      <c r="B180">
        <v>27984218</v>
      </c>
      <c r="C180">
        <v>2</v>
      </c>
      <c r="D180" s="1" t="s">
        <v>396</v>
      </c>
      <c r="E180">
        <v>9</v>
      </c>
    </row>
    <row r="181" spans="1:5" x14ac:dyDescent="0.2">
      <c r="A181">
        <v>10020640</v>
      </c>
      <c r="B181">
        <v>27984218</v>
      </c>
      <c r="C181">
        <v>7</v>
      </c>
      <c r="D181" s="1" t="s">
        <v>397</v>
      </c>
      <c r="E181">
        <v>9</v>
      </c>
    </row>
    <row r="182" spans="1:5" x14ac:dyDescent="0.2">
      <c r="A182">
        <v>10020640</v>
      </c>
      <c r="B182">
        <v>27984218</v>
      </c>
      <c r="C182">
        <v>5</v>
      </c>
      <c r="D182" s="1" t="s">
        <v>398</v>
      </c>
      <c r="E182">
        <v>9</v>
      </c>
    </row>
    <row r="183" spans="1:5" x14ac:dyDescent="0.2">
      <c r="A183">
        <v>10020640</v>
      </c>
      <c r="B183">
        <v>27984218</v>
      </c>
      <c r="C183">
        <v>12</v>
      </c>
      <c r="D183" s="1" t="s">
        <v>399</v>
      </c>
      <c r="E183">
        <v>9</v>
      </c>
    </row>
    <row r="184" spans="1:5" x14ac:dyDescent="0.2">
      <c r="A184">
        <v>10020640</v>
      </c>
      <c r="B184">
        <v>27984218</v>
      </c>
      <c r="C184">
        <v>18</v>
      </c>
      <c r="D184" s="1" t="s">
        <v>400</v>
      </c>
      <c r="E184">
        <v>9</v>
      </c>
    </row>
    <row r="185" spans="1:5" x14ac:dyDescent="0.2">
      <c r="A185">
        <v>10020640</v>
      </c>
      <c r="B185">
        <v>27984218</v>
      </c>
      <c r="C185">
        <v>19</v>
      </c>
      <c r="D185" s="1" t="s">
        <v>270</v>
      </c>
      <c r="E185">
        <v>9</v>
      </c>
    </row>
    <row r="186" spans="1:5" x14ac:dyDescent="0.2">
      <c r="A186">
        <v>10020640</v>
      </c>
      <c r="B186">
        <v>27984218</v>
      </c>
      <c r="C186">
        <v>4</v>
      </c>
      <c r="D186" s="1" t="s">
        <v>401</v>
      </c>
      <c r="E186">
        <v>9</v>
      </c>
    </row>
    <row r="187" spans="1:5" x14ac:dyDescent="0.2">
      <c r="A187">
        <v>10020640</v>
      </c>
      <c r="B187">
        <v>27984218</v>
      </c>
      <c r="C187">
        <v>9</v>
      </c>
      <c r="D187" s="1" t="s">
        <v>402</v>
      </c>
      <c r="E187">
        <v>9</v>
      </c>
    </row>
    <row r="188" spans="1:5" x14ac:dyDescent="0.2">
      <c r="A188">
        <v>10020640</v>
      </c>
      <c r="B188">
        <v>27984218</v>
      </c>
      <c r="C188">
        <v>3</v>
      </c>
      <c r="D188" s="1" t="s">
        <v>403</v>
      </c>
      <c r="E188">
        <v>9</v>
      </c>
    </row>
    <row r="189" spans="1:5" x14ac:dyDescent="0.2">
      <c r="A189">
        <v>10020640</v>
      </c>
      <c r="B189">
        <v>27984218</v>
      </c>
      <c r="C189">
        <v>1</v>
      </c>
      <c r="D189" s="1" t="s">
        <v>404</v>
      </c>
      <c r="E189">
        <v>9</v>
      </c>
    </row>
    <row r="190" spans="1:5" x14ac:dyDescent="0.2">
      <c r="A190">
        <v>10020640</v>
      </c>
      <c r="B190">
        <v>27984218</v>
      </c>
      <c r="C190">
        <v>15</v>
      </c>
      <c r="D190" s="1" t="s">
        <v>405</v>
      </c>
      <c r="E190">
        <v>9</v>
      </c>
    </row>
    <row r="191" spans="1:5" x14ac:dyDescent="0.2">
      <c r="A191">
        <v>10020640</v>
      </c>
      <c r="B191">
        <v>27984218</v>
      </c>
      <c r="C191">
        <v>17</v>
      </c>
      <c r="D191" s="1" t="s">
        <v>406</v>
      </c>
      <c r="E191">
        <v>9</v>
      </c>
    </row>
    <row r="192" spans="1:5" x14ac:dyDescent="0.2">
      <c r="A192">
        <v>10020640</v>
      </c>
      <c r="B192">
        <v>27984218</v>
      </c>
      <c r="C192">
        <v>16</v>
      </c>
      <c r="D192" s="1" t="s">
        <v>407</v>
      </c>
      <c r="E192">
        <v>9</v>
      </c>
    </row>
    <row r="193" spans="1:5" x14ac:dyDescent="0.2">
      <c r="A193">
        <v>10020640</v>
      </c>
      <c r="B193">
        <v>27984218</v>
      </c>
      <c r="C193">
        <v>21</v>
      </c>
      <c r="D193" s="1" t="s">
        <v>264</v>
      </c>
      <c r="E193">
        <v>9</v>
      </c>
    </row>
    <row r="194" spans="1:5" x14ac:dyDescent="0.2">
      <c r="A194">
        <v>10020640</v>
      </c>
      <c r="B194">
        <v>27984218</v>
      </c>
      <c r="C194">
        <v>13</v>
      </c>
      <c r="D194" s="1" t="s">
        <v>296</v>
      </c>
      <c r="E194">
        <v>9</v>
      </c>
    </row>
    <row r="195" spans="1:5" x14ac:dyDescent="0.2">
      <c r="A195">
        <v>10020640</v>
      </c>
      <c r="B195">
        <v>27984218</v>
      </c>
      <c r="C195">
        <v>20</v>
      </c>
      <c r="D195" s="1" t="s">
        <v>256</v>
      </c>
      <c r="E195">
        <v>9</v>
      </c>
    </row>
    <row r="196" spans="1:5" x14ac:dyDescent="0.2">
      <c r="A196">
        <v>10020640</v>
      </c>
      <c r="B196">
        <v>27984218</v>
      </c>
      <c r="C196">
        <v>8</v>
      </c>
      <c r="D196" s="1" t="s">
        <v>408</v>
      </c>
      <c r="E196">
        <v>9</v>
      </c>
    </row>
    <row r="197" spans="1:5" x14ac:dyDescent="0.2">
      <c r="A197">
        <v>10020640</v>
      </c>
      <c r="B197">
        <v>27984218</v>
      </c>
      <c r="C197">
        <v>10</v>
      </c>
      <c r="D197" s="1" t="s">
        <v>409</v>
      </c>
      <c r="E197">
        <v>9</v>
      </c>
    </row>
    <row r="198" spans="1:5" x14ac:dyDescent="0.2">
      <c r="A198">
        <v>10020640</v>
      </c>
      <c r="B198">
        <v>27984218</v>
      </c>
      <c r="C198">
        <v>6</v>
      </c>
      <c r="D198" s="1" t="s">
        <v>410</v>
      </c>
      <c r="E198">
        <v>9</v>
      </c>
    </row>
    <row r="199" spans="1:5" x14ac:dyDescent="0.2">
      <c r="A199">
        <v>10020640</v>
      </c>
      <c r="B199">
        <v>27984218</v>
      </c>
      <c r="C199">
        <v>11</v>
      </c>
      <c r="D199" s="1" t="s">
        <v>411</v>
      </c>
      <c r="E199">
        <v>9</v>
      </c>
    </row>
    <row r="200" spans="1:5" x14ac:dyDescent="0.2">
      <c r="A200">
        <v>10020640</v>
      </c>
      <c r="B200">
        <v>27984218</v>
      </c>
      <c r="C200">
        <v>14</v>
      </c>
      <c r="D200" s="1" t="s">
        <v>253</v>
      </c>
      <c r="E200">
        <v>9</v>
      </c>
    </row>
    <row r="201" spans="1:5" x14ac:dyDescent="0.2">
      <c r="A201">
        <v>10016150</v>
      </c>
      <c r="B201">
        <v>29374560</v>
      </c>
      <c r="C201">
        <v>12</v>
      </c>
      <c r="D201" s="1" t="s">
        <v>285</v>
      </c>
      <c r="E201">
        <v>9</v>
      </c>
    </row>
    <row r="202" spans="1:5" x14ac:dyDescent="0.2">
      <c r="A202">
        <v>10016150</v>
      </c>
      <c r="B202">
        <v>29374560</v>
      </c>
      <c r="C202">
        <v>2</v>
      </c>
      <c r="D202" s="1" t="s">
        <v>412</v>
      </c>
      <c r="E202">
        <v>9</v>
      </c>
    </row>
    <row r="203" spans="1:5" x14ac:dyDescent="0.2">
      <c r="A203">
        <v>10016150</v>
      </c>
      <c r="B203">
        <v>29374560</v>
      </c>
      <c r="C203">
        <v>14</v>
      </c>
      <c r="D203" s="1" t="s">
        <v>413</v>
      </c>
      <c r="E203">
        <v>9</v>
      </c>
    </row>
    <row r="204" spans="1:5" x14ac:dyDescent="0.2">
      <c r="A204">
        <v>10016150</v>
      </c>
      <c r="B204">
        <v>29374560</v>
      </c>
      <c r="C204">
        <v>7</v>
      </c>
      <c r="D204" s="1" t="s">
        <v>414</v>
      </c>
      <c r="E204">
        <v>9</v>
      </c>
    </row>
    <row r="205" spans="1:5" x14ac:dyDescent="0.2">
      <c r="A205">
        <v>10016150</v>
      </c>
      <c r="B205">
        <v>29374560</v>
      </c>
      <c r="C205">
        <v>11</v>
      </c>
      <c r="D205" s="1" t="s">
        <v>415</v>
      </c>
      <c r="E205">
        <v>9</v>
      </c>
    </row>
    <row r="206" spans="1:5" x14ac:dyDescent="0.2">
      <c r="A206">
        <v>10016150</v>
      </c>
      <c r="B206">
        <v>29374560</v>
      </c>
      <c r="C206">
        <v>5</v>
      </c>
      <c r="D206" s="1" t="s">
        <v>349</v>
      </c>
      <c r="E206">
        <v>9</v>
      </c>
    </row>
    <row r="207" spans="1:5" x14ac:dyDescent="0.2">
      <c r="A207">
        <v>10016150</v>
      </c>
      <c r="B207">
        <v>29374560</v>
      </c>
      <c r="C207">
        <v>3</v>
      </c>
      <c r="D207" s="1" t="s">
        <v>320</v>
      </c>
      <c r="E207">
        <v>9</v>
      </c>
    </row>
    <row r="208" spans="1:5" x14ac:dyDescent="0.2">
      <c r="A208">
        <v>10016150</v>
      </c>
      <c r="B208">
        <v>29374560</v>
      </c>
      <c r="C208">
        <v>17</v>
      </c>
      <c r="D208" s="1" t="s">
        <v>359</v>
      </c>
      <c r="E208">
        <v>9</v>
      </c>
    </row>
    <row r="209" spans="1:5" x14ac:dyDescent="0.2">
      <c r="A209">
        <v>10016150</v>
      </c>
      <c r="B209">
        <v>29374560</v>
      </c>
      <c r="C209">
        <v>6</v>
      </c>
      <c r="D209" s="1" t="s">
        <v>416</v>
      </c>
      <c r="E209">
        <v>9</v>
      </c>
    </row>
    <row r="210" spans="1:5" x14ac:dyDescent="0.2">
      <c r="A210">
        <v>10016150</v>
      </c>
      <c r="B210">
        <v>29374560</v>
      </c>
      <c r="C210">
        <v>1</v>
      </c>
      <c r="D210" s="1" t="s">
        <v>417</v>
      </c>
      <c r="E210">
        <v>9</v>
      </c>
    </row>
    <row r="211" spans="1:5" x14ac:dyDescent="0.2">
      <c r="A211">
        <v>10016150</v>
      </c>
      <c r="B211">
        <v>29374560</v>
      </c>
      <c r="C211">
        <v>13</v>
      </c>
      <c r="D211" s="1" t="s">
        <v>418</v>
      </c>
      <c r="E211">
        <v>9</v>
      </c>
    </row>
    <row r="212" spans="1:5" x14ac:dyDescent="0.2">
      <c r="A212">
        <v>10016150</v>
      </c>
      <c r="B212">
        <v>29374560</v>
      </c>
      <c r="C212">
        <v>9</v>
      </c>
      <c r="D212" s="1" t="s">
        <v>253</v>
      </c>
      <c r="E212">
        <v>9</v>
      </c>
    </row>
    <row r="213" spans="1:5" x14ac:dyDescent="0.2">
      <c r="A213">
        <v>10016150</v>
      </c>
      <c r="B213">
        <v>29374560</v>
      </c>
      <c r="C213">
        <v>10</v>
      </c>
      <c r="D213" s="1" t="s">
        <v>351</v>
      </c>
      <c r="E213">
        <v>9</v>
      </c>
    </row>
    <row r="214" spans="1:5" x14ac:dyDescent="0.2">
      <c r="A214">
        <v>10016150</v>
      </c>
      <c r="B214">
        <v>29374560</v>
      </c>
      <c r="C214">
        <v>4</v>
      </c>
      <c r="D214" s="1" t="s">
        <v>384</v>
      </c>
      <c r="E214">
        <v>9</v>
      </c>
    </row>
    <row r="215" spans="1:5" x14ac:dyDescent="0.2">
      <c r="A215">
        <v>10016150</v>
      </c>
      <c r="B215">
        <v>29374560</v>
      </c>
      <c r="C215">
        <v>8</v>
      </c>
      <c r="D215" s="1" t="s">
        <v>419</v>
      </c>
      <c r="E215">
        <v>9</v>
      </c>
    </row>
    <row r="216" spans="1:5" x14ac:dyDescent="0.2">
      <c r="A216">
        <v>10016150</v>
      </c>
      <c r="B216">
        <v>29374560</v>
      </c>
      <c r="C216">
        <v>16</v>
      </c>
      <c r="D216" s="1" t="s">
        <v>420</v>
      </c>
      <c r="E216">
        <v>9</v>
      </c>
    </row>
    <row r="217" spans="1:5" x14ac:dyDescent="0.2">
      <c r="A217">
        <v>10016150</v>
      </c>
      <c r="B217">
        <v>29374560</v>
      </c>
      <c r="C217">
        <v>15</v>
      </c>
      <c r="D217" s="1" t="s">
        <v>260</v>
      </c>
      <c r="E217">
        <v>9</v>
      </c>
    </row>
    <row r="218" spans="1:5" x14ac:dyDescent="0.2">
      <c r="A218">
        <v>10031404</v>
      </c>
      <c r="B218">
        <v>21606243</v>
      </c>
      <c r="C218">
        <v>5</v>
      </c>
      <c r="D218" s="1" t="s">
        <v>421</v>
      </c>
      <c r="E218">
        <v>10</v>
      </c>
    </row>
    <row r="219" spans="1:5" x14ac:dyDescent="0.2">
      <c r="A219">
        <v>10031404</v>
      </c>
      <c r="B219">
        <v>21606243</v>
      </c>
      <c r="C219">
        <v>7</v>
      </c>
      <c r="D219" s="1" t="s">
        <v>422</v>
      </c>
      <c r="E219">
        <v>10</v>
      </c>
    </row>
    <row r="220" spans="1:5" x14ac:dyDescent="0.2">
      <c r="A220">
        <v>10031404</v>
      </c>
      <c r="B220">
        <v>21606243</v>
      </c>
      <c r="C220">
        <v>3</v>
      </c>
      <c r="D220" s="1" t="s">
        <v>423</v>
      </c>
      <c r="E220">
        <v>10</v>
      </c>
    </row>
    <row r="221" spans="1:5" x14ac:dyDescent="0.2">
      <c r="A221">
        <v>10031404</v>
      </c>
      <c r="B221">
        <v>21606243</v>
      </c>
      <c r="C221">
        <v>12</v>
      </c>
      <c r="D221" s="1" t="s">
        <v>424</v>
      </c>
      <c r="E221">
        <v>10</v>
      </c>
    </row>
    <row r="222" spans="1:5" x14ac:dyDescent="0.2">
      <c r="A222">
        <v>10031404</v>
      </c>
      <c r="B222">
        <v>21606243</v>
      </c>
      <c r="C222">
        <v>9</v>
      </c>
      <c r="D222" s="1" t="s">
        <v>379</v>
      </c>
      <c r="E222">
        <v>10</v>
      </c>
    </row>
    <row r="223" spans="1:5" x14ac:dyDescent="0.2">
      <c r="A223">
        <v>10031404</v>
      </c>
      <c r="B223">
        <v>21606243</v>
      </c>
      <c r="C223">
        <v>13</v>
      </c>
      <c r="D223" s="1" t="s">
        <v>425</v>
      </c>
      <c r="E223">
        <v>10</v>
      </c>
    </row>
    <row r="224" spans="1:5" x14ac:dyDescent="0.2">
      <c r="A224">
        <v>10031404</v>
      </c>
      <c r="B224">
        <v>21606243</v>
      </c>
      <c r="C224">
        <v>11</v>
      </c>
      <c r="D224" s="1" t="s">
        <v>426</v>
      </c>
      <c r="E224">
        <v>10</v>
      </c>
    </row>
    <row r="225" spans="1:5" x14ac:dyDescent="0.2">
      <c r="A225">
        <v>10031404</v>
      </c>
      <c r="B225">
        <v>21606243</v>
      </c>
      <c r="C225">
        <v>6</v>
      </c>
      <c r="D225" s="1" t="s">
        <v>427</v>
      </c>
      <c r="E225">
        <v>10</v>
      </c>
    </row>
    <row r="226" spans="1:5" x14ac:dyDescent="0.2">
      <c r="A226">
        <v>10031404</v>
      </c>
      <c r="B226">
        <v>21606243</v>
      </c>
      <c r="C226">
        <v>8</v>
      </c>
      <c r="D226" s="1" t="s">
        <v>428</v>
      </c>
      <c r="E226">
        <v>10</v>
      </c>
    </row>
    <row r="227" spans="1:5" x14ac:dyDescent="0.2">
      <c r="A227">
        <v>10031404</v>
      </c>
      <c r="B227">
        <v>21606243</v>
      </c>
      <c r="C227">
        <v>10</v>
      </c>
      <c r="D227" s="1" t="s">
        <v>329</v>
      </c>
      <c r="E227">
        <v>10</v>
      </c>
    </row>
    <row r="228" spans="1:5" x14ac:dyDescent="0.2">
      <c r="A228">
        <v>10031404</v>
      </c>
      <c r="B228">
        <v>21606243</v>
      </c>
      <c r="C228">
        <v>4</v>
      </c>
      <c r="D228" s="1" t="s">
        <v>429</v>
      </c>
      <c r="E228">
        <v>10</v>
      </c>
    </row>
    <row r="229" spans="1:5" x14ac:dyDescent="0.2">
      <c r="A229">
        <v>10031404</v>
      </c>
      <c r="B229">
        <v>21606243</v>
      </c>
      <c r="C229">
        <v>15</v>
      </c>
      <c r="D229" s="1" t="s">
        <v>430</v>
      </c>
      <c r="E229">
        <v>10</v>
      </c>
    </row>
    <row r="230" spans="1:5" x14ac:dyDescent="0.2">
      <c r="A230">
        <v>10031404</v>
      </c>
      <c r="B230">
        <v>21606243</v>
      </c>
      <c r="C230">
        <v>1</v>
      </c>
      <c r="D230" s="1" t="s">
        <v>431</v>
      </c>
      <c r="E230">
        <v>10</v>
      </c>
    </row>
    <row r="231" spans="1:5" x14ac:dyDescent="0.2">
      <c r="A231">
        <v>10031404</v>
      </c>
      <c r="B231">
        <v>21606243</v>
      </c>
      <c r="C231">
        <v>2</v>
      </c>
      <c r="D231" s="1" t="s">
        <v>432</v>
      </c>
      <c r="E231">
        <v>10</v>
      </c>
    </row>
    <row r="232" spans="1:5" x14ac:dyDescent="0.2">
      <c r="A232">
        <v>10031404</v>
      </c>
      <c r="B232">
        <v>21606243</v>
      </c>
      <c r="C232">
        <v>14</v>
      </c>
      <c r="D232" s="1" t="s">
        <v>433</v>
      </c>
      <c r="E232">
        <v>10</v>
      </c>
    </row>
    <row r="233" spans="1:5" x14ac:dyDescent="0.2">
      <c r="A233">
        <v>10018423</v>
      </c>
      <c r="B233">
        <v>29366372</v>
      </c>
      <c r="C233">
        <v>3</v>
      </c>
      <c r="D233" s="1" t="s">
        <v>334</v>
      </c>
      <c r="E233">
        <v>10</v>
      </c>
    </row>
    <row r="234" spans="1:5" x14ac:dyDescent="0.2">
      <c r="A234">
        <v>10018423</v>
      </c>
      <c r="B234">
        <v>29366372</v>
      </c>
      <c r="C234">
        <v>9</v>
      </c>
      <c r="D234" s="1" t="s">
        <v>434</v>
      </c>
      <c r="E234">
        <v>10</v>
      </c>
    </row>
    <row r="235" spans="1:5" x14ac:dyDescent="0.2">
      <c r="A235">
        <v>10018423</v>
      </c>
      <c r="B235">
        <v>29366372</v>
      </c>
      <c r="C235">
        <v>5</v>
      </c>
      <c r="D235" s="1" t="s">
        <v>435</v>
      </c>
      <c r="E235">
        <v>10</v>
      </c>
    </row>
    <row r="236" spans="1:5" x14ac:dyDescent="0.2">
      <c r="A236">
        <v>10018423</v>
      </c>
      <c r="B236">
        <v>29366372</v>
      </c>
      <c r="C236">
        <v>1</v>
      </c>
      <c r="D236" s="1" t="s">
        <v>436</v>
      </c>
      <c r="E236">
        <v>10</v>
      </c>
    </row>
    <row r="237" spans="1:5" x14ac:dyDescent="0.2">
      <c r="A237">
        <v>10018423</v>
      </c>
      <c r="B237">
        <v>29366372</v>
      </c>
      <c r="C237">
        <v>8</v>
      </c>
      <c r="D237" s="1" t="s">
        <v>437</v>
      </c>
      <c r="E237">
        <v>10</v>
      </c>
    </row>
    <row r="238" spans="1:5" x14ac:dyDescent="0.2">
      <c r="A238">
        <v>10018423</v>
      </c>
      <c r="B238">
        <v>29366372</v>
      </c>
      <c r="C238">
        <v>6</v>
      </c>
      <c r="D238" s="1" t="s">
        <v>438</v>
      </c>
      <c r="E238">
        <v>10</v>
      </c>
    </row>
    <row r="239" spans="1:5" x14ac:dyDescent="0.2">
      <c r="A239">
        <v>10018423</v>
      </c>
      <c r="B239">
        <v>29366372</v>
      </c>
      <c r="C239">
        <v>7</v>
      </c>
      <c r="D239" s="1" t="s">
        <v>378</v>
      </c>
      <c r="E239">
        <v>10</v>
      </c>
    </row>
    <row r="240" spans="1:5" x14ac:dyDescent="0.2">
      <c r="A240">
        <v>10018423</v>
      </c>
      <c r="B240">
        <v>29366372</v>
      </c>
      <c r="C240">
        <v>4</v>
      </c>
      <c r="D240" s="1" t="s">
        <v>379</v>
      </c>
      <c r="E240">
        <v>10</v>
      </c>
    </row>
    <row r="241" spans="1:5" x14ac:dyDescent="0.2">
      <c r="A241">
        <v>10018423</v>
      </c>
      <c r="B241">
        <v>29366372</v>
      </c>
      <c r="C241">
        <v>2</v>
      </c>
      <c r="D241" s="1" t="s">
        <v>439</v>
      </c>
      <c r="E241">
        <v>10</v>
      </c>
    </row>
    <row r="242" spans="1:5" x14ac:dyDescent="0.2">
      <c r="A242">
        <v>10015272</v>
      </c>
      <c r="B242">
        <v>27993466</v>
      </c>
      <c r="C242">
        <v>5</v>
      </c>
      <c r="D242" s="1" t="s">
        <v>440</v>
      </c>
      <c r="E242">
        <v>10</v>
      </c>
    </row>
    <row r="243" spans="1:5" x14ac:dyDescent="0.2">
      <c r="A243">
        <v>10015272</v>
      </c>
      <c r="B243">
        <v>27993466</v>
      </c>
      <c r="C243">
        <v>13</v>
      </c>
      <c r="D243" s="1" t="s">
        <v>441</v>
      </c>
      <c r="E243">
        <v>10</v>
      </c>
    </row>
    <row r="244" spans="1:5" x14ac:dyDescent="0.2">
      <c r="A244">
        <v>10015272</v>
      </c>
      <c r="B244">
        <v>27993466</v>
      </c>
      <c r="C244">
        <v>6</v>
      </c>
      <c r="D244" s="1" t="s">
        <v>442</v>
      </c>
      <c r="E244">
        <v>10</v>
      </c>
    </row>
    <row r="245" spans="1:5" x14ac:dyDescent="0.2">
      <c r="A245">
        <v>10015272</v>
      </c>
      <c r="B245">
        <v>27993466</v>
      </c>
      <c r="C245">
        <v>12</v>
      </c>
      <c r="D245" s="1" t="s">
        <v>443</v>
      </c>
      <c r="E245">
        <v>10</v>
      </c>
    </row>
    <row r="246" spans="1:5" x14ac:dyDescent="0.2">
      <c r="A246">
        <v>10015272</v>
      </c>
      <c r="B246">
        <v>27993466</v>
      </c>
      <c r="C246">
        <v>7</v>
      </c>
      <c r="D246" s="1" t="s">
        <v>444</v>
      </c>
      <c r="E246">
        <v>10</v>
      </c>
    </row>
    <row r="247" spans="1:5" x14ac:dyDescent="0.2">
      <c r="A247">
        <v>10015272</v>
      </c>
      <c r="B247">
        <v>27993466</v>
      </c>
      <c r="C247">
        <v>14</v>
      </c>
      <c r="D247" s="1" t="s">
        <v>445</v>
      </c>
      <c r="E247">
        <v>10</v>
      </c>
    </row>
    <row r="248" spans="1:5" x14ac:dyDescent="0.2">
      <c r="A248">
        <v>10015272</v>
      </c>
      <c r="B248">
        <v>27993466</v>
      </c>
      <c r="C248">
        <v>11</v>
      </c>
      <c r="D248" s="1" t="s">
        <v>446</v>
      </c>
      <c r="E248">
        <v>10</v>
      </c>
    </row>
    <row r="249" spans="1:5" x14ac:dyDescent="0.2">
      <c r="A249">
        <v>10015272</v>
      </c>
      <c r="B249">
        <v>27993466</v>
      </c>
      <c r="C249">
        <v>4</v>
      </c>
      <c r="D249" s="1" t="s">
        <v>447</v>
      </c>
      <c r="E249">
        <v>10</v>
      </c>
    </row>
    <row r="250" spans="1:5" x14ac:dyDescent="0.2">
      <c r="A250">
        <v>10015272</v>
      </c>
      <c r="B250">
        <v>27993466</v>
      </c>
      <c r="C250">
        <v>2</v>
      </c>
      <c r="D250" s="1" t="s">
        <v>448</v>
      </c>
      <c r="E250">
        <v>10</v>
      </c>
    </row>
    <row r="251" spans="1:5" x14ac:dyDescent="0.2">
      <c r="A251">
        <v>10015272</v>
      </c>
      <c r="B251">
        <v>27993466</v>
      </c>
      <c r="C251">
        <v>8</v>
      </c>
      <c r="D251" s="1" t="s">
        <v>324</v>
      </c>
      <c r="E251">
        <v>10</v>
      </c>
    </row>
    <row r="252" spans="1:5" x14ac:dyDescent="0.2">
      <c r="A252">
        <v>10015272</v>
      </c>
      <c r="B252">
        <v>27993466</v>
      </c>
      <c r="C252">
        <v>1</v>
      </c>
      <c r="D252" s="1" t="s">
        <v>449</v>
      </c>
      <c r="E252">
        <v>10</v>
      </c>
    </row>
    <row r="253" spans="1:5" x14ac:dyDescent="0.2">
      <c r="A253">
        <v>10015272</v>
      </c>
      <c r="B253">
        <v>27993466</v>
      </c>
      <c r="C253">
        <v>3</v>
      </c>
      <c r="D253" s="1" t="s">
        <v>450</v>
      </c>
      <c r="E253">
        <v>10</v>
      </c>
    </row>
    <row r="254" spans="1:5" x14ac:dyDescent="0.2">
      <c r="A254">
        <v>10015272</v>
      </c>
      <c r="B254">
        <v>27993466</v>
      </c>
      <c r="C254">
        <v>9</v>
      </c>
      <c r="D254" s="1" t="s">
        <v>451</v>
      </c>
      <c r="E254">
        <v>10</v>
      </c>
    </row>
    <row r="255" spans="1:5" x14ac:dyDescent="0.2">
      <c r="A255">
        <v>10015272</v>
      </c>
      <c r="B255">
        <v>27993466</v>
      </c>
      <c r="C255">
        <v>10</v>
      </c>
      <c r="D255" s="1" t="s">
        <v>452</v>
      </c>
      <c r="E255">
        <v>10</v>
      </c>
    </row>
    <row r="256" spans="1:5" x14ac:dyDescent="0.2">
      <c r="A256">
        <v>10006053</v>
      </c>
      <c r="B256">
        <v>22942076</v>
      </c>
      <c r="C256">
        <v>4</v>
      </c>
      <c r="D256" s="1" t="s">
        <v>453</v>
      </c>
      <c r="E256">
        <v>9</v>
      </c>
    </row>
    <row r="257" spans="1:5" x14ac:dyDescent="0.2">
      <c r="A257">
        <v>10006053</v>
      </c>
      <c r="B257">
        <v>22942076</v>
      </c>
      <c r="C257">
        <v>5</v>
      </c>
      <c r="D257" s="1" t="s">
        <v>454</v>
      </c>
      <c r="E257">
        <v>9</v>
      </c>
    </row>
    <row r="258" spans="1:5" x14ac:dyDescent="0.2">
      <c r="A258">
        <v>10006053</v>
      </c>
      <c r="B258">
        <v>22942076</v>
      </c>
      <c r="C258">
        <v>7</v>
      </c>
      <c r="D258" s="1" t="s">
        <v>455</v>
      </c>
      <c r="E258">
        <v>9</v>
      </c>
    </row>
    <row r="259" spans="1:5" x14ac:dyDescent="0.2">
      <c r="A259">
        <v>10006053</v>
      </c>
      <c r="B259">
        <v>22942076</v>
      </c>
      <c r="C259">
        <v>8</v>
      </c>
      <c r="D259" s="1" t="s">
        <v>456</v>
      </c>
      <c r="E259">
        <v>9</v>
      </c>
    </row>
    <row r="260" spans="1:5" x14ac:dyDescent="0.2">
      <c r="A260">
        <v>10006053</v>
      </c>
      <c r="B260">
        <v>22942076</v>
      </c>
      <c r="C260">
        <v>9</v>
      </c>
      <c r="D260" s="1" t="s">
        <v>457</v>
      </c>
      <c r="E260">
        <v>9</v>
      </c>
    </row>
    <row r="261" spans="1:5" x14ac:dyDescent="0.2">
      <c r="A261">
        <v>10006053</v>
      </c>
      <c r="B261">
        <v>22942076</v>
      </c>
      <c r="C261">
        <v>3</v>
      </c>
      <c r="D261" s="1" t="s">
        <v>458</v>
      </c>
      <c r="E261">
        <v>9</v>
      </c>
    </row>
    <row r="262" spans="1:5" x14ac:dyDescent="0.2">
      <c r="A262">
        <v>10006053</v>
      </c>
      <c r="B262">
        <v>22942076</v>
      </c>
      <c r="C262">
        <v>1</v>
      </c>
      <c r="D262" s="1" t="s">
        <v>459</v>
      </c>
      <c r="E262">
        <v>9</v>
      </c>
    </row>
    <row r="263" spans="1:5" x14ac:dyDescent="0.2">
      <c r="A263">
        <v>10006053</v>
      </c>
      <c r="B263">
        <v>22942076</v>
      </c>
      <c r="C263">
        <v>2</v>
      </c>
      <c r="D263" s="1" t="s">
        <v>460</v>
      </c>
      <c r="E263">
        <v>9</v>
      </c>
    </row>
    <row r="264" spans="1:5" x14ac:dyDescent="0.2">
      <c r="A264">
        <v>10006053</v>
      </c>
      <c r="B264">
        <v>22942076</v>
      </c>
      <c r="C264">
        <v>10</v>
      </c>
      <c r="D264" s="1" t="s">
        <v>461</v>
      </c>
      <c r="E264">
        <v>9</v>
      </c>
    </row>
    <row r="265" spans="1:5" x14ac:dyDescent="0.2">
      <c r="A265">
        <v>10006053</v>
      </c>
      <c r="B265">
        <v>22942076</v>
      </c>
      <c r="C265">
        <v>6</v>
      </c>
      <c r="D265" s="1" t="s">
        <v>462</v>
      </c>
      <c r="E265">
        <v>9</v>
      </c>
    </row>
    <row r="266" spans="1:5" x14ac:dyDescent="0.2">
      <c r="A266">
        <v>10029484</v>
      </c>
      <c r="B266">
        <v>20764029</v>
      </c>
      <c r="C266">
        <v>6</v>
      </c>
      <c r="D266" s="1" t="s">
        <v>463</v>
      </c>
      <c r="E266">
        <v>9</v>
      </c>
    </row>
    <row r="267" spans="1:5" x14ac:dyDescent="0.2">
      <c r="A267">
        <v>10029484</v>
      </c>
      <c r="B267">
        <v>20764029</v>
      </c>
      <c r="C267">
        <v>8</v>
      </c>
      <c r="D267" s="1" t="s">
        <v>296</v>
      </c>
      <c r="E267">
        <v>9</v>
      </c>
    </row>
    <row r="268" spans="1:5" x14ac:dyDescent="0.2">
      <c r="A268">
        <v>10029484</v>
      </c>
      <c r="B268">
        <v>20764029</v>
      </c>
      <c r="C268">
        <v>4</v>
      </c>
      <c r="D268" s="1" t="s">
        <v>464</v>
      </c>
      <c r="E268">
        <v>9</v>
      </c>
    </row>
    <row r="269" spans="1:5" x14ac:dyDescent="0.2">
      <c r="A269">
        <v>10029484</v>
      </c>
      <c r="B269">
        <v>20764029</v>
      </c>
      <c r="C269">
        <v>9</v>
      </c>
      <c r="D269" s="1" t="s">
        <v>259</v>
      </c>
      <c r="E269">
        <v>9</v>
      </c>
    </row>
    <row r="270" spans="1:5" x14ac:dyDescent="0.2">
      <c r="A270">
        <v>10029484</v>
      </c>
      <c r="B270">
        <v>20764029</v>
      </c>
      <c r="C270">
        <v>5</v>
      </c>
      <c r="D270" s="1" t="s">
        <v>465</v>
      </c>
      <c r="E270">
        <v>9</v>
      </c>
    </row>
    <row r="271" spans="1:5" x14ac:dyDescent="0.2">
      <c r="A271">
        <v>10029484</v>
      </c>
      <c r="B271">
        <v>20764029</v>
      </c>
      <c r="C271">
        <v>10</v>
      </c>
      <c r="D271" s="1" t="s">
        <v>339</v>
      </c>
      <c r="E271">
        <v>9</v>
      </c>
    </row>
    <row r="272" spans="1:5" x14ac:dyDescent="0.2">
      <c r="A272">
        <v>10029484</v>
      </c>
      <c r="B272">
        <v>20764029</v>
      </c>
      <c r="C272">
        <v>3</v>
      </c>
      <c r="D272" s="1" t="s">
        <v>273</v>
      </c>
      <c r="E272">
        <v>9</v>
      </c>
    </row>
    <row r="273" spans="1:5" x14ac:dyDescent="0.2">
      <c r="A273">
        <v>10029484</v>
      </c>
      <c r="B273">
        <v>20764029</v>
      </c>
      <c r="C273">
        <v>7</v>
      </c>
      <c r="D273" s="1" t="s">
        <v>466</v>
      </c>
      <c r="E273">
        <v>9</v>
      </c>
    </row>
    <row r="274" spans="1:5" x14ac:dyDescent="0.2">
      <c r="A274">
        <v>10029484</v>
      </c>
      <c r="B274">
        <v>20764029</v>
      </c>
      <c r="C274">
        <v>1</v>
      </c>
      <c r="D274" s="1" t="s">
        <v>467</v>
      </c>
      <c r="E274">
        <v>9</v>
      </c>
    </row>
    <row r="275" spans="1:5" x14ac:dyDescent="0.2">
      <c r="A275">
        <v>10029484</v>
      </c>
      <c r="B275">
        <v>20764029</v>
      </c>
      <c r="C275">
        <v>2</v>
      </c>
      <c r="D275" s="1" t="s">
        <v>468</v>
      </c>
      <c r="E275">
        <v>9</v>
      </c>
    </row>
    <row r="276" spans="1:5" x14ac:dyDescent="0.2">
      <c r="A276">
        <v>10012552</v>
      </c>
      <c r="B276">
        <v>27089790</v>
      </c>
      <c r="C276">
        <v>3</v>
      </c>
      <c r="D276" s="1" t="s">
        <v>253</v>
      </c>
      <c r="E276">
        <v>9</v>
      </c>
    </row>
    <row r="277" spans="1:5" x14ac:dyDescent="0.2">
      <c r="A277">
        <v>10012552</v>
      </c>
      <c r="B277">
        <v>27089790</v>
      </c>
      <c r="C277">
        <v>5</v>
      </c>
      <c r="D277" s="1" t="s">
        <v>293</v>
      </c>
      <c r="E277">
        <v>9</v>
      </c>
    </row>
    <row r="278" spans="1:5" x14ac:dyDescent="0.2">
      <c r="A278">
        <v>10012552</v>
      </c>
      <c r="B278">
        <v>27089790</v>
      </c>
      <c r="C278">
        <v>4</v>
      </c>
      <c r="D278" s="1" t="s">
        <v>296</v>
      </c>
      <c r="E278">
        <v>9</v>
      </c>
    </row>
    <row r="279" spans="1:5" x14ac:dyDescent="0.2">
      <c r="A279">
        <v>10012552</v>
      </c>
      <c r="B279">
        <v>27089790</v>
      </c>
      <c r="C279">
        <v>2</v>
      </c>
      <c r="D279" s="1" t="s">
        <v>259</v>
      </c>
      <c r="E279">
        <v>9</v>
      </c>
    </row>
    <row r="280" spans="1:5" x14ac:dyDescent="0.2">
      <c r="A280">
        <v>10012552</v>
      </c>
      <c r="B280">
        <v>27089790</v>
      </c>
      <c r="C280">
        <v>1</v>
      </c>
      <c r="D280" s="1" t="s">
        <v>458</v>
      </c>
      <c r="E280">
        <v>9</v>
      </c>
    </row>
    <row r="281" spans="1:5" x14ac:dyDescent="0.2">
      <c r="A281">
        <v>10012552</v>
      </c>
      <c r="B281">
        <v>27089790</v>
      </c>
      <c r="C281">
        <v>8</v>
      </c>
      <c r="D281" s="1" t="s">
        <v>252</v>
      </c>
      <c r="E281">
        <v>9</v>
      </c>
    </row>
    <row r="282" spans="1:5" x14ac:dyDescent="0.2">
      <c r="A282">
        <v>10012552</v>
      </c>
      <c r="B282">
        <v>27089790</v>
      </c>
      <c r="C282">
        <v>6</v>
      </c>
      <c r="D282" s="1" t="s">
        <v>469</v>
      </c>
      <c r="E282">
        <v>9</v>
      </c>
    </row>
    <row r="283" spans="1:5" x14ac:dyDescent="0.2">
      <c r="A283">
        <v>10012552</v>
      </c>
      <c r="B283">
        <v>27089790</v>
      </c>
      <c r="C283">
        <v>7</v>
      </c>
      <c r="D283" s="1" t="s">
        <v>318</v>
      </c>
      <c r="E283">
        <v>9</v>
      </c>
    </row>
    <row r="284" spans="1:5" x14ac:dyDescent="0.2">
      <c r="A284">
        <v>10024043</v>
      </c>
      <c r="B284">
        <v>25561728</v>
      </c>
      <c r="C284">
        <v>1</v>
      </c>
      <c r="D284" s="1" t="s">
        <v>470</v>
      </c>
      <c r="E284">
        <v>9</v>
      </c>
    </row>
    <row r="285" spans="1:5" x14ac:dyDescent="0.2">
      <c r="A285">
        <v>10024043</v>
      </c>
      <c r="B285">
        <v>25561728</v>
      </c>
      <c r="C285">
        <v>2</v>
      </c>
      <c r="D285" s="1" t="s">
        <v>471</v>
      </c>
      <c r="E285">
        <v>9</v>
      </c>
    </row>
    <row r="286" spans="1:5" x14ac:dyDescent="0.2">
      <c r="A286">
        <v>10024043</v>
      </c>
      <c r="B286">
        <v>25561728</v>
      </c>
      <c r="C286">
        <v>3</v>
      </c>
      <c r="D286" s="1" t="s">
        <v>296</v>
      </c>
      <c r="E286">
        <v>9</v>
      </c>
    </row>
    <row r="287" spans="1:5" x14ac:dyDescent="0.2">
      <c r="A287">
        <v>10026406</v>
      </c>
      <c r="B287">
        <v>25260176</v>
      </c>
      <c r="C287">
        <v>6</v>
      </c>
      <c r="D287" s="1" t="s">
        <v>472</v>
      </c>
      <c r="E287">
        <v>9</v>
      </c>
    </row>
    <row r="288" spans="1:5" x14ac:dyDescent="0.2">
      <c r="A288">
        <v>10026406</v>
      </c>
      <c r="B288">
        <v>25260176</v>
      </c>
      <c r="C288">
        <v>4</v>
      </c>
      <c r="D288" s="1" t="s">
        <v>473</v>
      </c>
      <c r="E288">
        <v>9</v>
      </c>
    </row>
    <row r="289" spans="1:5" x14ac:dyDescent="0.2">
      <c r="A289">
        <v>10026406</v>
      </c>
      <c r="B289">
        <v>25260176</v>
      </c>
      <c r="C289">
        <v>2</v>
      </c>
      <c r="D289" s="1" t="s">
        <v>474</v>
      </c>
      <c r="E289">
        <v>9</v>
      </c>
    </row>
    <row r="290" spans="1:5" x14ac:dyDescent="0.2">
      <c r="A290">
        <v>10026406</v>
      </c>
      <c r="B290">
        <v>25260176</v>
      </c>
      <c r="C290">
        <v>8</v>
      </c>
      <c r="D290" s="1" t="s">
        <v>308</v>
      </c>
      <c r="E290">
        <v>9</v>
      </c>
    </row>
    <row r="291" spans="1:5" x14ac:dyDescent="0.2">
      <c r="A291">
        <v>10026406</v>
      </c>
      <c r="B291">
        <v>25260176</v>
      </c>
      <c r="C291">
        <v>5</v>
      </c>
      <c r="D291" s="1" t="s">
        <v>475</v>
      </c>
      <c r="E291">
        <v>9</v>
      </c>
    </row>
    <row r="292" spans="1:5" x14ac:dyDescent="0.2">
      <c r="A292">
        <v>10026406</v>
      </c>
      <c r="B292">
        <v>25260176</v>
      </c>
      <c r="C292">
        <v>3</v>
      </c>
      <c r="D292" s="1" t="s">
        <v>456</v>
      </c>
      <c r="E292">
        <v>9</v>
      </c>
    </row>
    <row r="293" spans="1:5" x14ac:dyDescent="0.2">
      <c r="A293">
        <v>10026406</v>
      </c>
      <c r="B293">
        <v>25260176</v>
      </c>
      <c r="C293">
        <v>1</v>
      </c>
      <c r="D293" s="1" t="s">
        <v>291</v>
      </c>
      <c r="E293">
        <v>9</v>
      </c>
    </row>
    <row r="294" spans="1:5" x14ac:dyDescent="0.2">
      <c r="A294">
        <v>10026406</v>
      </c>
      <c r="B294">
        <v>25260176</v>
      </c>
      <c r="C294">
        <v>7</v>
      </c>
      <c r="D294" s="1" t="s">
        <v>293</v>
      </c>
      <c r="E294">
        <v>9</v>
      </c>
    </row>
    <row r="295" spans="1:5" x14ac:dyDescent="0.2">
      <c r="A295">
        <v>10019385</v>
      </c>
      <c r="B295">
        <v>20297618</v>
      </c>
      <c r="C295">
        <v>5</v>
      </c>
      <c r="D295" s="1" t="s">
        <v>476</v>
      </c>
      <c r="E295">
        <v>10</v>
      </c>
    </row>
    <row r="296" spans="1:5" x14ac:dyDescent="0.2">
      <c r="A296">
        <v>10019385</v>
      </c>
      <c r="B296">
        <v>20297618</v>
      </c>
      <c r="C296">
        <v>3</v>
      </c>
      <c r="D296" s="1" t="s">
        <v>329</v>
      </c>
      <c r="E296">
        <v>10</v>
      </c>
    </row>
    <row r="297" spans="1:5" x14ac:dyDescent="0.2">
      <c r="A297">
        <v>10019385</v>
      </c>
      <c r="B297">
        <v>20297618</v>
      </c>
      <c r="C297">
        <v>4</v>
      </c>
      <c r="D297" s="1" t="s">
        <v>477</v>
      </c>
      <c r="E297">
        <v>10</v>
      </c>
    </row>
    <row r="298" spans="1:5" x14ac:dyDescent="0.2">
      <c r="A298">
        <v>10019385</v>
      </c>
      <c r="B298">
        <v>20297618</v>
      </c>
      <c r="C298">
        <v>1</v>
      </c>
      <c r="D298" s="1" t="s">
        <v>436</v>
      </c>
      <c r="E298">
        <v>10</v>
      </c>
    </row>
    <row r="299" spans="1:5" x14ac:dyDescent="0.2">
      <c r="A299">
        <v>10019385</v>
      </c>
      <c r="B299">
        <v>20297618</v>
      </c>
      <c r="C299">
        <v>7</v>
      </c>
      <c r="D299" s="1" t="s">
        <v>478</v>
      </c>
      <c r="E299">
        <v>10</v>
      </c>
    </row>
    <row r="300" spans="1:5" x14ac:dyDescent="0.2">
      <c r="A300">
        <v>10019385</v>
      </c>
      <c r="B300">
        <v>20297618</v>
      </c>
      <c r="C300">
        <v>9</v>
      </c>
      <c r="D300" s="1" t="s">
        <v>434</v>
      </c>
      <c r="E300">
        <v>10</v>
      </c>
    </row>
    <row r="301" spans="1:5" x14ac:dyDescent="0.2">
      <c r="A301">
        <v>10019385</v>
      </c>
      <c r="B301">
        <v>20297618</v>
      </c>
      <c r="C301">
        <v>8</v>
      </c>
      <c r="D301" s="1" t="s">
        <v>380</v>
      </c>
      <c r="E301">
        <v>10</v>
      </c>
    </row>
    <row r="302" spans="1:5" x14ac:dyDescent="0.2">
      <c r="A302">
        <v>10019385</v>
      </c>
      <c r="B302">
        <v>20297618</v>
      </c>
      <c r="C302">
        <v>6</v>
      </c>
      <c r="D302" s="1" t="s">
        <v>479</v>
      </c>
      <c r="E302">
        <v>10</v>
      </c>
    </row>
    <row r="303" spans="1:5" x14ac:dyDescent="0.2">
      <c r="A303">
        <v>10019385</v>
      </c>
      <c r="B303">
        <v>20297618</v>
      </c>
      <c r="C303">
        <v>2</v>
      </c>
      <c r="D303" s="1" t="s">
        <v>378</v>
      </c>
      <c r="E303">
        <v>10</v>
      </c>
    </row>
    <row r="304" spans="1:5" x14ac:dyDescent="0.2">
      <c r="A304">
        <v>10022281</v>
      </c>
      <c r="B304">
        <v>29642388</v>
      </c>
      <c r="C304">
        <v>4</v>
      </c>
      <c r="D304" s="1" t="s">
        <v>384</v>
      </c>
      <c r="E304">
        <v>9</v>
      </c>
    </row>
    <row r="305" spans="1:5" x14ac:dyDescent="0.2">
      <c r="A305">
        <v>10022281</v>
      </c>
      <c r="B305">
        <v>29642388</v>
      </c>
      <c r="C305">
        <v>3</v>
      </c>
      <c r="D305" s="1" t="s">
        <v>480</v>
      </c>
      <c r="E305">
        <v>9</v>
      </c>
    </row>
    <row r="306" spans="1:5" x14ac:dyDescent="0.2">
      <c r="A306">
        <v>10022281</v>
      </c>
      <c r="B306">
        <v>29642388</v>
      </c>
      <c r="C306">
        <v>1</v>
      </c>
      <c r="D306" s="1" t="s">
        <v>481</v>
      </c>
      <c r="E306">
        <v>9</v>
      </c>
    </row>
    <row r="307" spans="1:5" x14ac:dyDescent="0.2">
      <c r="A307">
        <v>10022281</v>
      </c>
      <c r="B307">
        <v>29642388</v>
      </c>
      <c r="C307">
        <v>7</v>
      </c>
      <c r="D307" s="1" t="s">
        <v>359</v>
      </c>
      <c r="E307">
        <v>9</v>
      </c>
    </row>
    <row r="308" spans="1:5" x14ac:dyDescent="0.2">
      <c r="A308">
        <v>10022281</v>
      </c>
      <c r="B308">
        <v>29642388</v>
      </c>
      <c r="C308">
        <v>5</v>
      </c>
      <c r="D308" s="1" t="s">
        <v>385</v>
      </c>
      <c r="E308">
        <v>9</v>
      </c>
    </row>
    <row r="309" spans="1:5" x14ac:dyDescent="0.2">
      <c r="A309">
        <v>10022281</v>
      </c>
      <c r="B309">
        <v>29642388</v>
      </c>
      <c r="C309">
        <v>8</v>
      </c>
      <c r="D309" s="1" t="s">
        <v>260</v>
      </c>
      <c r="E309">
        <v>9</v>
      </c>
    </row>
    <row r="310" spans="1:5" x14ac:dyDescent="0.2">
      <c r="A310">
        <v>10022281</v>
      </c>
      <c r="B310">
        <v>29642388</v>
      </c>
      <c r="C310">
        <v>2</v>
      </c>
      <c r="D310" s="1" t="s">
        <v>296</v>
      </c>
      <c r="E310">
        <v>9</v>
      </c>
    </row>
    <row r="311" spans="1:5" x14ac:dyDescent="0.2">
      <c r="A311">
        <v>10022281</v>
      </c>
      <c r="B311">
        <v>29642388</v>
      </c>
      <c r="C311">
        <v>6</v>
      </c>
      <c r="D311" s="1" t="s">
        <v>253</v>
      </c>
      <c r="E311">
        <v>9</v>
      </c>
    </row>
    <row r="312" spans="1:5" x14ac:dyDescent="0.2">
      <c r="A312">
        <v>10011398</v>
      </c>
      <c r="B312">
        <v>27505812</v>
      </c>
      <c r="C312">
        <v>6</v>
      </c>
      <c r="D312" s="1" t="s">
        <v>482</v>
      </c>
      <c r="E312">
        <v>9</v>
      </c>
    </row>
    <row r="313" spans="1:5" x14ac:dyDescent="0.2">
      <c r="A313">
        <v>10011398</v>
      </c>
      <c r="B313">
        <v>27505812</v>
      </c>
      <c r="C313">
        <v>8</v>
      </c>
      <c r="D313" s="1" t="s">
        <v>483</v>
      </c>
      <c r="E313">
        <v>9</v>
      </c>
    </row>
    <row r="314" spans="1:5" x14ac:dyDescent="0.2">
      <c r="A314">
        <v>10011398</v>
      </c>
      <c r="B314">
        <v>27505812</v>
      </c>
      <c r="C314">
        <v>9</v>
      </c>
      <c r="D314" s="1" t="s">
        <v>484</v>
      </c>
      <c r="E314">
        <v>9</v>
      </c>
    </row>
    <row r="315" spans="1:5" x14ac:dyDescent="0.2">
      <c r="A315">
        <v>10011398</v>
      </c>
      <c r="B315">
        <v>27505812</v>
      </c>
      <c r="C315">
        <v>7</v>
      </c>
      <c r="D315" s="1" t="s">
        <v>485</v>
      </c>
      <c r="E315">
        <v>9</v>
      </c>
    </row>
    <row r="316" spans="1:5" x14ac:dyDescent="0.2">
      <c r="A316">
        <v>10011398</v>
      </c>
      <c r="B316">
        <v>27505812</v>
      </c>
      <c r="C316">
        <v>5</v>
      </c>
      <c r="D316" s="1" t="s">
        <v>259</v>
      </c>
      <c r="E316">
        <v>9</v>
      </c>
    </row>
    <row r="317" spans="1:5" x14ac:dyDescent="0.2">
      <c r="A317">
        <v>10011398</v>
      </c>
      <c r="B317">
        <v>27505812</v>
      </c>
      <c r="C317">
        <v>10</v>
      </c>
      <c r="D317" s="1" t="s">
        <v>357</v>
      </c>
      <c r="E317">
        <v>9</v>
      </c>
    </row>
    <row r="318" spans="1:5" x14ac:dyDescent="0.2">
      <c r="A318">
        <v>10011398</v>
      </c>
      <c r="B318">
        <v>27505812</v>
      </c>
      <c r="C318">
        <v>2</v>
      </c>
      <c r="D318" s="1" t="s">
        <v>486</v>
      </c>
      <c r="E318">
        <v>9</v>
      </c>
    </row>
    <row r="319" spans="1:5" x14ac:dyDescent="0.2">
      <c r="A319">
        <v>10011398</v>
      </c>
      <c r="B319">
        <v>27505812</v>
      </c>
      <c r="C319">
        <v>3</v>
      </c>
      <c r="D319" s="1" t="s">
        <v>487</v>
      </c>
      <c r="E319">
        <v>9</v>
      </c>
    </row>
    <row r="320" spans="1:5" x14ac:dyDescent="0.2">
      <c r="A320">
        <v>10011398</v>
      </c>
      <c r="B320">
        <v>27505812</v>
      </c>
      <c r="C320">
        <v>1</v>
      </c>
      <c r="D320" s="1" t="s">
        <v>253</v>
      </c>
      <c r="E320">
        <v>9</v>
      </c>
    </row>
    <row r="321" spans="1:5" x14ac:dyDescent="0.2">
      <c r="A321">
        <v>10011398</v>
      </c>
      <c r="B321">
        <v>27505812</v>
      </c>
      <c r="C321">
        <v>4</v>
      </c>
      <c r="D321" s="1" t="s">
        <v>296</v>
      </c>
      <c r="E321">
        <v>9</v>
      </c>
    </row>
    <row r="322" spans="1:5" x14ac:dyDescent="0.2">
      <c r="A322">
        <v>10001725</v>
      </c>
      <c r="B322">
        <v>25563031</v>
      </c>
      <c r="C322">
        <v>4</v>
      </c>
      <c r="D322" s="1" t="s">
        <v>368</v>
      </c>
      <c r="E322">
        <v>9</v>
      </c>
    </row>
    <row r="323" spans="1:5" x14ac:dyDescent="0.2">
      <c r="A323">
        <v>10001725</v>
      </c>
      <c r="B323">
        <v>25563031</v>
      </c>
      <c r="C323">
        <v>8</v>
      </c>
      <c r="D323" s="1" t="s">
        <v>488</v>
      </c>
      <c r="E323">
        <v>9</v>
      </c>
    </row>
    <row r="324" spans="1:5" x14ac:dyDescent="0.2">
      <c r="A324">
        <v>10001725</v>
      </c>
      <c r="B324">
        <v>25563031</v>
      </c>
      <c r="C324">
        <v>3</v>
      </c>
      <c r="D324" s="1" t="s">
        <v>489</v>
      </c>
      <c r="E324">
        <v>9</v>
      </c>
    </row>
    <row r="325" spans="1:5" x14ac:dyDescent="0.2">
      <c r="A325">
        <v>10001725</v>
      </c>
      <c r="B325">
        <v>25563031</v>
      </c>
      <c r="C325">
        <v>16</v>
      </c>
      <c r="D325" s="1" t="s">
        <v>490</v>
      </c>
      <c r="E325">
        <v>9</v>
      </c>
    </row>
    <row r="326" spans="1:5" x14ac:dyDescent="0.2">
      <c r="A326">
        <v>10001725</v>
      </c>
      <c r="B326">
        <v>25563031</v>
      </c>
      <c r="C326">
        <v>9</v>
      </c>
      <c r="D326" s="1" t="s">
        <v>482</v>
      </c>
      <c r="E326">
        <v>9</v>
      </c>
    </row>
    <row r="327" spans="1:5" x14ac:dyDescent="0.2">
      <c r="A327">
        <v>10001725</v>
      </c>
      <c r="B327">
        <v>25563031</v>
      </c>
      <c r="C327">
        <v>17</v>
      </c>
      <c r="D327" s="1" t="s">
        <v>491</v>
      </c>
      <c r="E327">
        <v>9</v>
      </c>
    </row>
    <row r="328" spans="1:5" x14ac:dyDescent="0.2">
      <c r="A328">
        <v>10001725</v>
      </c>
      <c r="B328">
        <v>25563031</v>
      </c>
      <c r="C328">
        <v>10</v>
      </c>
      <c r="D328" s="1" t="s">
        <v>492</v>
      </c>
      <c r="E328">
        <v>9</v>
      </c>
    </row>
    <row r="329" spans="1:5" x14ac:dyDescent="0.2">
      <c r="A329">
        <v>10001725</v>
      </c>
      <c r="B329">
        <v>25563031</v>
      </c>
      <c r="C329">
        <v>12</v>
      </c>
      <c r="D329" s="1" t="s">
        <v>493</v>
      </c>
      <c r="E329">
        <v>9</v>
      </c>
    </row>
    <row r="330" spans="1:5" x14ac:dyDescent="0.2">
      <c r="A330">
        <v>10001725</v>
      </c>
      <c r="B330">
        <v>25563031</v>
      </c>
      <c r="C330">
        <v>5</v>
      </c>
      <c r="D330" s="1" t="s">
        <v>293</v>
      </c>
      <c r="E330">
        <v>9</v>
      </c>
    </row>
    <row r="331" spans="1:5" x14ac:dyDescent="0.2">
      <c r="A331">
        <v>10001725</v>
      </c>
      <c r="B331">
        <v>25563031</v>
      </c>
      <c r="C331">
        <v>13</v>
      </c>
      <c r="D331" s="1" t="s">
        <v>359</v>
      </c>
      <c r="E331">
        <v>9</v>
      </c>
    </row>
    <row r="332" spans="1:5" x14ac:dyDescent="0.2">
      <c r="A332">
        <v>10001725</v>
      </c>
      <c r="B332">
        <v>25563031</v>
      </c>
      <c r="C332">
        <v>18</v>
      </c>
      <c r="D332" s="1" t="s">
        <v>494</v>
      </c>
      <c r="E332">
        <v>9</v>
      </c>
    </row>
    <row r="333" spans="1:5" x14ac:dyDescent="0.2">
      <c r="A333">
        <v>10001725</v>
      </c>
      <c r="B333">
        <v>25563031</v>
      </c>
      <c r="C333">
        <v>1</v>
      </c>
      <c r="D333" s="1" t="s">
        <v>495</v>
      </c>
      <c r="E333">
        <v>9</v>
      </c>
    </row>
    <row r="334" spans="1:5" x14ac:dyDescent="0.2">
      <c r="A334">
        <v>10001725</v>
      </c>
      <c r="B334">
        <v>25563031</v>
      </c>
      <c r="C334">
        <v>7</v>
      </c>
      <c r="D334" s="1" t="s">
        <v>406</v>
      </c>
      <c r="E334">
        <v>9</v>
      </c>
    </row>
    <row r="335" spans="1:5" x14ac:dyDescent="0.2">
      <c r="A335">
        <v>10001725</v>
      </c>
      <c r="B335">
        <v>25563031</v>
      </c>
      <c r="C335">
        <v>2</v>
      </c>
      <c r="D335" s="1" t="s">
        <v>496</v>
      </c>
      <c r="E335">
        <v>9</v>
      </c>
    </row>
    <row r="336" spans="1:5" x14ac:dyDescent="0.2">
      <c r="A336">
        <v>10001725</v>
      </c>
      <c r="B336">
        <v>25563031</v>
      </c>
      <c r="C336">
        <v>11</v>
      </c>
      <c r="D336" s="1" t="s">
        <v>497</v>
      </c>
      <c r="E336">
        <v>9</v>
      </c>
    </row>
    <row r="337" spans="1:5" x14ac:dyDescent="0.2">
      <c r="A337">
        <v>10001725</v>
      </c>
      <c r="B337">
        <v>25563031</v>
      </c>
      <c r="C337">
        <v>15</v>
      </c>
      <c r="D337" s="1" t="s">
        <v>498</v>
      </c>
      <c r="E337">
        <v>9</v>
      </c>
    </row>
    <row r="338" spans="1:5" x14ac:dyDescent="0.2">
      <c r="A338">
        <v>10001725</v>
      </c>
      <c r="B338">
        <v>25563031</v>
      </c>
      <c r="C338">
        <v>6</v>
      </c>
      <c r="D338" s="1" t="s">
        <v>499</v>
      </c>
      <c r="E338">
        <v>9</v>
      </c>
    </row>
    <row r="339" spans="1:5" x14ac:dyDescent="0.2">
      <c r="A339">
        <v>10001725</v>
      </c>
      <c r="B339">
        <v>25563031</v>
      </c>
      <c r="C339">
        <v>14</v>
      </c>
      <c r="D339" s="1" t="s">
        <v>500</v>
      </c>
      <c r="E339">
        <v>9</v>
      </c>
    </row>
    <row r="340" spans="1:5" x14ac:dyDescent="0.2">
      <c r="A340">
        <v>10039831</v>
      </c>
      <c r="B340">
        <v>26924951</v>
      </c>
      <c r="C340">
        <v>2</v>
      </c>
      <c r="D340" s="1" t="s">
        <v>501</v>
      </c>
      <c r="E340">
        <v>9</v>
      </c>
    </row>
    <row r="341" spans="1:5" x14ac:dyDescent="0.2">
      <c r="A341">
        <v>10039831</v>
      </c>
      <c r="B341">
        <v>26924951</v>
      </c>
      <c r="C341">
        <v>3</v>
      </c>
      <c r="D341" s="1" t="s">
        <v>502</v>
      </c>
      <c r="E341">
        <v>9</v>
      </c>
    </row>
    <row r="342" spans="1:5" x14ac:dyDescent="0.2">
      <c r="A342">
        <v>10039831</v>
      </c>
      <c r="B342">
        <v>26924951</v>
      </c>
      <c r="C342">
        <v>4</v>
      </c>
      <c r="D342" s="1" t="s">
        <v>503</v>
      </c>
      <c r="E342">
        <v>9</v>
      </c>
    </row>
    <row r="343" spans="1:5" x14ac:dyDescent="0.2">
      <c r="A343">
        <v>10039831</v>
      </c>
      <c r="B343">
        <v>26924951</v>
      </c>
      <c r="C343">
        <v>6</v>
      </c>
      <c r="D343" s="1" t="s">
        <v>504</v>
      </c>
      <c r="E343">
        <v>9</v>
      </c>
    </row>
    <row r="344" spans="1:5" x14ac:dyDescent="0.2">
      <c r="A344">
        <v>10039831</v>
      </c>
      <c r="B344">
        <v>26924951</v>
      </c>
      <c r="C344">
        <v>1</v>
      </c>
      <c r="D344" s="1" t="s">
        <v>505</v>
      </c>
      <c r="E344">
        <v>9</v>
      </c>
    </row>
    <row r="345" spans="1:5" x14ac:dyDescent="0.2">
      <c r="A345">
        <v>10039831</v>
      </c>
      <c r="B345">
        <v>26924951</v>
      </c>
      <c r="C345">
        <v>7</v>
      </c>
      <c r="D345" s="1" t="s">
        <v>506</v>
      </c>
      <c r="E345">
        <v>9</v>
      </c>
    </row>
    <row r="346" spans="1:5" x14ac:dyDescent="0.2">
      <c r="A346">
        <v>10039831</v>
      </c>
      <c r="B346">
        <v>26924951</v>
      </c>
      <c r="C346">
        <v>5</v>
      </c>
      <c r="D346" s="1" t="s">
        <v>308</v>
      </c>
      <c r="E346">
        <v>9</v>
      </c>
    </row>
    <row r="347" spans="1:5" x14ac:dyDescent="0.2">
      <c r="A347">
        <v>10007928</v>
      </c>
      <c r="B347">
        <v>20338077</v>
      </c>
      <c r="C347">
        <v>10</v>
      </c>
      <c r="D347" s="1" t="s">
        <v>507</v>
      </c>
      <c r="E347">
        <v>9</v>
      </c>
    </row>
    <row r="348" spans="1:5" x14ac:dyDescent="0.2">
      <c r="A348">
        <v>10007928</v>
      </c>
      <c r="B348">
        <v>20338077</v>
      </c>
      <c r="C348">
        <v>11</v>
      </c>
      <c r="D348" s="1" t="s">
        <v>508</v>
      </c>
      <c r="E348">
        <v>9</v>
      </c>
    </row>
    <row r="349" spans="1:5" x14ac:dyDescent="0.2">
      <c r="A349">
        <v>10007928</v>
      </c>
      <c r="B349">
        <v>20338077</v>
      </c>
      <c r="C349">
        <v>16</v>
      </c>
      <c r="D349" s="1" t="s">
        <v>509</v>
      </c>
      <c r="E349">
        <v>9</v>
      </c>
    </row>
    <row r="350" spans="1:5" x14ac:dyDescent="0.2">
      <c r="A350">
        <v>10007928</v>
      </c>
      <c r="B350">
        <v>20338077</v>
      </c>
      <c r="C350">
        <v>6</v>
      </c>
      <c r="D350" s="1" t="s">
        <v>263</v>
      </c>
      <c r="E350">
        <v>9</v>
      </c>
    </row>
    <row r="351" spans="1:5" x14ac:dyDescent="0.2">
      <c r="A351">
        <v>10007928</v>
      </c>
      <c r="B351">
        <v>20338077</v>
      </c>
      <c r="C351">
        <v>12</v>
      </c>
      <c r="D351" s="1" t="s">
        <v>400</v>
      </c>
      <c r="E351">
        <v>9</v>
      </c>
    </row>
    <row r="352" spans="1:5" x14ac:dyDescent="0.2">
      <c r="A352">
        <v>10007928</v>
      </c>
      <c r="B352">
        <v>20338077</v>
      </c>
      <c r="C352">
        <v>15</v>
      </c>
      <c r="D352" s="1" t="s">
        <v>510</v>
      </c>
      <c r="E352">
        <v>9</v>
      </c>
    </row>
    <row r="353" spans="1:5" x14ac:dyDescent="0.2">
      <c r="A353">
        <v>10007928</v>
      </c>
      <c r="B353">
        <v>20338077</v>
      </c>
      <c r="C353">
        <v>9</v>
      </c>
      <c r="D353" s="1" t="s">
        <v>511</v>
      </c>
      <c r="E353">
        <v>9</v>
      </c>
    </row>
    <row r="354" spans="1:5" x14ac:dyDescent="0.2">
      <c r="A354">
        <v>10007928</v>
      </c>
      <c r="B354">
        <v>20338077</v>
      </c>
      <c r="C354">
        <v>2</v>
      </c>
      <c r="D354" s="1" t="s">
        <v>467</v>
      </c>
      <c r="E354">
        <v>9</v>
      </c>
    </row>
    <row r="355" spans="1:5" x14ac:dyDescent="0.2">
      <c r="A355">
        <v>10007928</v>
      </c>
      <c r="B355">
        <v>20338077</v>
      </c>
      <c r="C355">
        <v>14</v>
      </c>
      <c r="D355" s="1" t="s">
        <v>512</v>
      </c>
      <c r="E355">
        <v>9</v>
      </c>
    </row>
    <row r="356" spans="1:5" x14ac:dyDescent="0.2">
      <c r="A356">
        <v>10007928</v>
      </c>
      <c r="B356">
        <v>20338077</v>
      </c>
      <c r="C356">
        <v>20</v>
      </c>
      <c r="D356" s="1" t="s">
        <v>513</v>
      </c>
      <c r="E356">
        <v>9</v>
      </c>
    </row>
    <row r="357" spans="1:5" x14ac:dyDescent="0.2">
      <c r="A357">
        <v>10007928</v>
      </c>
      <c r="B357">
        <v>20338077</v>
      </c>
      <c r="C357">
        <v>7</v>
      </c>
      <c r="D357" s="1" t="s">
        <v>409</v>
      </c>
      <c r="E357">
        <v>9</v>
      </c>
    </row>
    <row r="358" spans="1:5" x14ac:dyDescent="0.2">
      <c r="A358">
        <v>10007928</v>
      </c>
      <c r="B358">
        <v>20338077</v>
      </c>
      <c r="C358">
        <v>8</v>
      </c>
      <c r="D358" s="1" t="s">
        <v>390</v>
      </c>
      <c r="E358">
        <v>9</v>
      </c>
    </row>
    <row r="359" spans="1:5" x14ac:dyDescent="0.2">
      <c r="A359">
        <v>10007928</v>
      </c>
      <c r="B359">
        <v>20338077</v>
      </c>
      <c r="C359">
        <v>13</v>
      </c>
      <c r="D359" s="1" t="s">
        <v>514</v>
      </c>
      <c r="E359">
        <v>9</v>
      </c>
    </row>
    <row r="360" spans="1:5" x14ac:dyDescent="0.2">
      <c r="A360">
        <v>10007928</v>
      </c>
      <c r="B360">
        <v>20338077</v>
      </c>
      <c r="C360">
        <v>17</v>
      </c>
      <c r="D360" s="1" t="s">
        <v>515</v>
      </c>
      <c r="E360">
        <v>9</v>
      </c>
    </row>
    <row r="361" spans="1:5" x14ac:dyDescent="0.2">
      <c r="A361">
        <v>10007928</v>
      </c>
      <c r="B361">
        <v>20338077</v>
      </c>
      <c r="C361">
        <v>18</v>
      </c>
      <c r="D361" s="1" t="s">
        <v>366</v>
      </c>
      <c r="E361">
        <v>9</v>
      </c>
    </row>
    <row r="362" spans="1:5" x14ac:dyDescent="0.2">
      <c r="A362">
        <v>10007928</v>
      </c>
      <c r="B362">
        <v>20338077</v>
      </c>
      <c r="C362">
        <v>4</v>
      </c>
      <c r="D362" s="1" t="s">
        <v>516</v>
      </c>
      <c r="E362">
        <v>9</v>
      </c>
    </row>
    <row r="363" spans="1:5" x14ac:dyDescent="0.2">
      <c r="A363">
        <v>10007928</v>
      </c>
      <c r="B363">
        <v>20338077</v>
      </c>
      <c r="C363">
        <v>3</v>
      </c>
      <c r="D363" s="1" t="s">
        <v>392</v>
      </c>
      <c r="E363">
        <v>9</v>
      </c>
    </row>
    <row r="364" spans="1:5" x14ac:dyDescent="0.2">
      <c r="A364">
        <v>10007928</v>
      </c>
      <c r="B364">
        <v>20338077</v>
      </c>
      <c r="C364">
        <v>5</v>
      </c>
      <c r="D364" s="1" t="s">
        <v>517</v>
      </c>
      <c r="E364">
        <v>9</v>
      </c>
    </row>
    <row r="365" spans="1:5" x14ac:dyDescent="0.2">
      <c r="A365">
        <v>10007928</v>
      </c>
      <c r="B365">
        <v>20338077</v>
      </c>
      <c r="C365">
        <v>1</v>
      </c>
      <c r="D365" s="1" t="s">
        <v>518</v>
      </c>
      <c r="E365">
        <v>9</v>
      </c>
    </row>
    <row r="366" spans="1:5" x14ac:dyDescent="0.2">
      <c r="A366">
        <v>10007928</v>
      </c>
      <c r="B366">
        <v>20338077</v>
      </c>
      <c r="C366">
        <v>19</v>
      </c>
      <c r="D366" s="1" t="s">
        <v>308</v>
      </c>
      <c r="E366">
        <v>9</v>
      </c>
    </row>
    <row r="367" spans="1:5" x14ac:dyDescent="0.2">
      <c r="A367">
        <v>10021118</v>
      </c>
      <c r="B367">
        <v>24490144</v>
      </c>
      <c r="C367">
        <v>4</v>
      </c>
      <c r="D367" s="1" t="s">
        <v>379</v>
      </c>
      <c r="E367">
        <v>10</v>
      </c>
    </row>
    <row r="368" spans="1:5" x14ac:dyDescent="0.2">
      <c r="A368">
        <v>10021118</v>
      </c>
      <c r="B368">
        <v>24490144</v>
      </c>
      <c r="C368">
        <v>9</v>
      </c>
      <c r="D368" s="1" t="s">
        <v>430</v>
      </c>
      <c r="E368">
        <v>10</v>
      </c>
    </row>
    <row r="369" spans="1:5" x14ac:dyDescent="0.2">
      <c r="A369">
        <v>10021118</v>
      </c>
      <c r="B369">
        <v>24490144</v>
      </c>
      <c r="C369">
        <v>5</v>
      </c>
      <c r="D369" s="1" t="s">
        <v>519</v>
      </c>
      <c r="E369">
        <v>10</v>
      </c>
    </row>
    <row r="370" spans="1:5" x14ac:dyDescent="0.2">
      <c r="A370">
        <v>10021118</v>
      </c>
      <c r="B370">
        <v>24490144</v>
      </c>
      <c r="C370">
        <v>3</v>
      </c>
      <c r="D370" s="1" t="s">
        <v>334</v>
      </c>
      <c r="E370">
        <v>10</v>
      </c>
    </row>
    <row r="371" spans="1:5" x14ac:dyDescent="0.2">
      <c r="A371">
        <v>10021118</v>
      </c>
      <c r="B371">
        <v>24490144</v>
      </c>
      <c r="C371">
        <v>2</v>
      </c>
      <c r="D371" s="1" t="s">
        <v>520</v>
      </c>
      <c r="E371">
        <v>10</v>
      </c>
    </row>
    <row r="372" spans="1:5" x14ac:dyDescent="0.2">
      <c r="A372">
        <v>10021118</v>
      </c>
      <c r="B372">
        <v>24490144</v>
      </c>
      <c r="C372">
        <v>1</v>
      </c>
      <c r="D372" s="1" t="s">
        <v>335</v>
      </c>
      <c r="E372">
        <v>10</v>
      </c>
    </row>
    <row r="373" spans="1:5" x14ac:dyDescent="0.2">
      <c r="A373">
        <v>10021118</v>
      </c>
      <c r="B373">
        <v>24490144</v>
      </c>
      <c r="C373">
        <v>11</v>
      </c>
      <c r="D373" s="1" t="s">
        <v>452</v>
      </c>
      <c r="E373">
        <v>10</v>
      </c>
    </row>
    <row r="374" spans="1:5" x14ac:dyDescent="0.2">
      <c r="A374">
        <v>10021118</v>
      </c>
      <c r="B374">
        <v>24490144</v>
      </c>
      <c r="C374">
        <v>7</v>
      </c>
      <c r="D374" s="1" t="s">
        <v>478</v>
      </c>
      <c r="E374">
        <v>10</v>
      </c>
    </row>
    <row r="375" spans="1:5" x14ac:dyDescent="0.2">
      <c r="A375">
        <v>10021118</v>
      </c>
      <c r="B375">
        <v>24490144</v>
      </c>
      <c r="C375">
        <v>8</v>
      </c>
      <c r="D375" s="1" t="s">
        <v>333</v>
      </c>
      <c r="E375">
        <v>10</v>
      </c>
    </row>
    <row r="376" spans="1:5" x14ac:dyDescent="0.2">
      <c r="A376">
        <v>10021118</v>
      </c>
      <c r="B376">
        <v>24490144</v>
      </c>
      <c r="C376">
        <v>6</v>
      </c>
      <c r="D376" s="1" t="s">
        <v>378</v>
      </c>
      <c r="E376">
        <v>10</v>
      </c>
    </row>
    <row r="377" spans="1:5" x14ac:dyDescent="0.2">
      <c r="A377">
        <v>10021118</v>
      </c>
      <c r="B377">
        <v>24490144</v>
      </c>
      <c r="C377">
        <v>10</v>
      </c>
      <c r="D377" s="1" t="s">
        <v>434</v>
      </c>
      <c r="E377">
        <v>10</v>
      </c>
    </row>
    <row r="378" spans="1:5" x14ac:dyDescent="0.2">
      <c r="A378">
        <v>10021118</v>
      </c>
      <c r="B378">
        <v>24490144</v>
      </c>
      <c r="C378">
        <v>12</v>
      </c>
      <c r="D378" s="1" t="s">
        <v>521</v>
      </c>
      <c r="E378">
        <v>10</v>
      </c>
    </row>
    <row r="379" spans="1:5" x14ac:dyDescent="0.2">
      <c r="A379">
        <v>10007058</v>
      </c>
      <c r="B379">
        <v>22954658</v>
      </c>
      <c r="C379">
        <v>4</v>
      </c>
      <c r="D379" s="1" t="s">
        <v>522</v>
      </c>
      <c r="E379">
        <v>10</v>
      </c>
    </row>
    <row r="380" spans="1:5" x14ac:dyDescent="0.2">
      <c r="A380">
        <v>10007058</v>
      </c>
      <c r="B380">
        <v>22954658</v>
      </c>
      <c r="C380">
        <v>1</v>
      </c>
      <c r="D380" s="1" t="s">
        <v>520</v>
      </c>
      <c r="E380">
        <v>10</v>
      </c>
    </row>
    <row r="381" spans="1:5" x14ac:dyDescent="0.2">
      <c r="A381">
        <v>10007058</v>
      </c>
      <c r="B381">
        <v>22954658</v>
      </c>
      <c r="C381">
        <v>3</v>
      </c>
      <c r="D381" s="1" t="s">
        <v>438</v>
      </c>
      <c r="E381">
        <v>10</v>
      </c>
    </row>
    <row r="382" spans="1:5" x14ac:dyDescent="0.2">
      <c r="A382">
        <v>10007058</v>
      </c>
      <c r="B382">
        <v>22954658</v>
      </c>
      <c r="C382">
        <v>6</v>
      </c>
      <c r="D382" s="1" t="s">
        <v>452</v>
      </c>
      <c r="E382">
        <v>10</v>
      </c>
    </row>
    <row r="383" spans="1:5" x14ac:dyDescent="0.2">
      <c r="A383">
        <v>10007058</v>
      </c>
      <c r="B383">
        <v>22954658</v>
      </c>
      <c r="C383">
        <v>5</v>
      </c>
      <c r="D383" s="1" t="s">
        <v>380</v>
      </c>
      <c r="E383">
        <v>10</v>
      </c>
    </row>
    <row r="384" spans="1:5" x14ac:dyDescent="0.2">
      <c r="A384">
        <v>10007058</v>
      </c>
      <c r="B384">
        <v>22954658</v>
      </c>
      <c r="C384">
        <v>2</v>
      </c>
      <c r="D384" s="1" t="s">
        <v>523</v>
      </c>
      <c r="E384">
        <v>10</v>
      </c>
    </row>
    <row r="385" spans="1:5" x14ac:dyDescent="0.2">
      <c r="A385">
        <v>10003046</v>
      </c>
      <c r="B385">
        <v>26048429</v>
      </c>
      <c r="C385">
        <v>1</v>
      </c>
      <c r="D385" s="1" t="s">
        <v>524</v>
      </c>
      <c r="E385">
        <v>9</v>
      </c>
    </row>
    <row r="386" spans="1:5" x14ac:dyDescent="0.2">
      <c r="A386">
        <v>10003046</v>
      </c>
      <c r="B386">
        <v>26048429</v>
      </c>
      <c r="C386">
        <v>4</v>
      </c>
      <c r="D386" s="1" t="s">
        <v>293</v>
      </c>
      <c r="E386">
        <v>9</v>
      </c>
    </row>
    <row r="387" spans="1:5" x14ac:dyDescent="0.2">
      <c r="A387">
        <v>10003046</v>
      </c>
      <c r="B387">
        <v>26048429</v>
      </c>
      <c r="C387">
        <v>3</v>
      </c>
      <c r="D387" s="1" t="s">
        <v>525</v>
      </c>
      <c r="E387">
        <v>9</v>
      </c>
    </row>
    <row r="388" spans="1:5" x14ac:dyDescent="0.2">
      <c r="A388">
        <v>10003046</v>
      </c>
      <c r="B388">
        <v>26048429</v>
      </c>
      <c r="C388">
        <v>2</v>
      </c>
      <c r="D388" s="1" t="s">
        <v>410</v>
      </c>
      <c r="E388">
        <v>9</v>
      </c>
    </row>
    <row r="389" spans="1:5" x14ac:dyDescent="0.2">
      <c r="A389">
        <v>10019917</v>
      </c>
      <c r="B389">
        <v>22585261</v>
      </c>
      <c r="C389">
        <v>2</v>
      </c>
      <c r="D389" s="1" t="s">
        <v>526</v>
      </c>
      <c r="E389">
        <v>9</v>
      </c>
    </row>
    <row r="390" spans="1:5" x14ac:dyDescent="0.2">
      <c r="A390">
        <v>10019917</v>
      </c>
      <c r="B390">
        <v>22585261</v>
      </c>
      <c r="C390">
        <v>1</v>
      </c>
      <c r="D390" s="1" t="s">
        <v>507</v>
      </c>
      <c r="E390">
        <v>9</v>
      </c>
    </row>
    <row r="391" spans="1:5" x14ac:dyDescent="0.2">
      <c r="A391">
        <v>10019917</v>
      </c>
      <c r="B391">
        <v>22585261</v>
      </c>
      <c r="C391">
        <v>4</v>
      </c>
      <c r="D391" s="1" t="s">
        <v>527</v>
      </c>
      <c r="E391">
        <v>9</v>
      </c>
    </row>
    <row r="392" spans="1:5" x14ac:dyDescent="0.2">
      <c r="A392">
        <v>10019917</v>
      </c>
      <c r="B392">
        <v>22585261</v>
      </c>
      <c r="C392">
        <v>3</v>
      </c>
      <c r="D392" s="1" t="s">
        <v>528</v>
      </c>
      <c r="E392">
        <v>9</v>
      </c>
    </row>
    <row r="393" spans="1:5" x14ac:dyDescent="0.2">
      <c r="A393">
        <v>10019172</v>
      </c>
      <c r="B393">
        <v>21540783</v>
      </c>
      <c r="C393">
        <v>10</v>
      </c>
      <c r="D393" s="1" t="s">
        <v>529</v>
      </c>
      <c r="E393">
        <v>9</v>
      </c>
    </row>
    <row r="394" spans="1:5" x14ac:dyDescent="0.2">
      <c r="A394">
        <v>10019172</v>
      </c>
      <c r="B394">
        <v>21540783</v>
      </c>
      <c r="C394">
        <v>6</v>
      </c>
      <c r="D394" s="1" t="s">
        <v>308</v>
      </c>
      <c r="E394">
        <v>9</v>
      </c>
    </row>
    <row r="395" spans="1:5" x14ac:dyDescent="0.2">
      <c r="A395">
        <v>10019172</v>
      </c>
      <c r="B395">
        <v>21540783</v>
      </c>
      <c r="C395">
        <v>3</v>
      </c>
      <c r="D395" s="1" t="s">
        <v>320</v>
      </c>
      <c r="E395">
        <v>9</v>
      </c>
    </row>
    <row r="396" spans="1:5" x14ac:dyDescent="0.2">
      <c r="A396">
        <v>10019172</v>
      </c>
      <c r="B396">
        <v>21540783</v>
      </c>
      <c r="C396">
        <v>1</v>
      </c>
      <c r="D396" s="1" t="s">
        <v>530</v>
      </c>
      <c r="E396">
        <v>9</v>
      </c>
    </row>
    <row r="397" spans="1:5" x14ac:dyDescent="0.2">
      <c r="A397">
        <v>10019172</v>
      </c>
      <c r="B397">
        <v>21540783</v>
      </c>
      <c r="C397">
        <v>4</v>
      </c>
      <c r="D397" s="1" t="s">
        <v>418</v>
      </c>
      <c r="E397">
        <v>9</v>
      </c>
    </row>
    <row r="398" spans="1:5" x14ac:dyDescent="0.2">
      <c r="A398">
        <v>10019172</v>
      </c>
      <c r="B398">
        <v>21540783</v>
      </c>
      <c r="C398">
        <v>8</v>
      </c>
      <c r="D398" s="1" t="s">
        <v>531</v>
      </c>
      <c r="E398">
        <v>9</v>
      </c>
    </row>
    <row r="399" spans="1:5" x14ac:dyDescent="0.2">
      <c r="A399">
        <v>10019172</v>
      </c>
      <c r="B399">
        <v>21540783</v>
      </c>
      <c r="C399">
        <v>5</v>
      </c>
      <c r="D399" s="1" t="s">
        <v>296</v>
      </c>
      <c r="E399">
        <v>9</v>
      </c>
    </row>
    <row r="400" spans="1:5" x14ac:dyDescent="0.2">
      <c r="A400">
        <v>10019172</v>
      </c>
      <c r="B400">
        <v>21540783</v>
      </c>
      <c r="C400">
        <v>7</v>
      </c>
      <c r="D400" s="1" t="s">
        <v>532</v>
      </c>
      <c r="E400">
        <v>9</v>
      </c>
    </row>
    <row r="401" spans="1:5" x14ac:dyDescent="0.2">
      <c r="A401">
        <v>10019172</v>
      </c>
      <c r="B401">
        <v>21540783</v>
      </c>
      <c r="C401">
        <v>9</v>
      </c>
      <c r="D401" s="1" t="s">
        <v>533</v>
      </c>
      <c r="E401">
        <v>9</v>
      </c>
    </row>
    <row r="402" spans="1:5" x14ac:dyDescent="0.2">
      <c r="A402">
        <v>10019172</v>
      </c>
      <c r="B402">
        <v>21540783</v>
      </c>
      <c r="C402">
        <v>2</v>
      </c>
      <c r="D402" s="1" t="s">
        <v>409</v>
      </c>
      <c r="E402">
        <v>9</v>
      </c>
    </row>
    <row r="403" spans="1:5" x14ac:dyDescent="0.2">
      <c r="A403">
        <v>10025463</v>
      </c>
      <c r="B403">
        <v>24470193</v>
      </c>
      <c r="C403">
        <v>10</v>
      </c>
      <c r="D403" s="1" t="s">
        <v>534</v>
      </c>
      <c r="E403">
        <v>9</v>
      </c>
    </row>
    <row r="404" spans="1:5" x14ac:dyDescent="0.2">
      <c r="A404">
        <v>10025463</v>
      </c>
      <c r="B404">
        <v>24470193</v>
      </c>
      <c r="C404">
        <v>1</v>
      </c>
      <c r="D404" s="1" t="s">
        <v>535</v>
      </c>
      <c r="E404">
        <v>9</v>
      </c>
    </row>
    <row r="405" spans="1:5" x14ac:dyDescent="0.2">
      <c r="A405">
        <v>10025463</v>
      </c>
      <c r="B405">
        <v>24470193</v>
      </c>
      <c r="C405">
        <v>2</v>
      </c>
      <c r="D405" s="1" t="s">
        <v>536</v>
      </c>
      <c r="E405">
        <v>9</v>
      </c>
    </row>
    <row r="406" spans="1:5" x14ac:dyDescent="0.2">
      <c r="A406">
        <v>10025463</v>
      </c>
      <c r="B406">
        <v>24470193</v>
      </c>
      <c r="C406">
        <v>3</v>
      </c>
      <c r="D406" s="1" t="s">
        <v>320</v>
      </c>
      <c r="E406">
        <v>9</v>
      </c>
    </row>
    <row r="407" spans="1:5" x14ac:dyDescent="0.2">
      <c r="A407">
        <v>10025463</v>
      </c>
      <c r="B407">
        <v>24470193</v>
      </c>
      <c r="C407">
        <v>5</v>
      </c>
      <c r="D407" s="1" t="s">
        <v>296</v>
      </c>
      <c r="E407">
        <v>9</v>
      </c>
    </row>
    <row r="408" spans="1:5" x14ac:dyDescent="0.2">
      <c r="A408">
        <v>10025463</v>
      </c>
      <c r="B408">
        <v>24470193</v>
      </c>
      <c r="C408">
        <v>4</v>
      </c>
      <c r="D408" s="1" t="s">
        <v>537</v>
      </c>
      <c r="E408">
        <v>9</v>
      </c>
    </row>
    <row r="409" spans="1:5" x14ac:dyDescent="0.2">
      <c r="A409">
        <v>10025463</v>
      </c>
      <c r="B409">
        <v>24470193</v>
      </c>
      <c r="C409">
        <v>6</v>
      </c>
      <c r="D409" s="1" t="s">
        <v>259</v>
      </c>
      <c r="E409">
        <v>9</v>
      </c>
    </row>
    <row r="410" spans="1:5" x14ac:dyDescent="0.2">
      <c r="A410">
        <v>10025463</v>
      </c>
      <c r="B410">
        <v>24470193</v>
      </c>
      <c r="C410">
        <v>7</v>
      </c>
      <c r="D410" s="1" t="s">
        <v>418</v>
      </c>
      <c r="E410">
        <v>9</v>
      </c>
    </row>
    <row r="411" spans="1:5" x14ac:dyDescent="0.2">
      <c r="A411">
        <v>10025463</v>
      </c>
      <c r="B411">
        <v>24470193</v>
      </c>
      <c r="C411">
        <v>8</v>
      </c>
      <c r="D411" s="1" t="s">
        <v>538</v>
      </c>
      <c r="E411">
        <v>9</v>
      </c>
    </row>
    <row r="412" spans="1:5" x14ac:dyDescent="0.2">
      <c r="A412">
        <v>10025463</v>
      </c>
      <c r="B412">
        <v>24470193</v>
      </c>
      <c r="C412">
        <v>9</v>
      </c>
      <c r="D412" s="1" t="s">
        <v>359</v>
      </c>
      <c r="E412">
        <v>9</v>
      </c>
    </row>
    <row r="413" spans="1:5" x14ac:dyDescent="0.2">
      <c r="A413">
        <v>10006580</v>
      </c>
      <c r="B413">
        <v>24159665</v>
      </c>
      <c r="C413">
        <v>9</v>
      </c>
      <c r="D413" s="1" t="s">
        <v>295</v>
      </c>
      <c r="E413">
        <v>9</v>
      </c>
    </row>
    <row r="414" spans="1:5" x14ac:dyDescent="0.2">
      <c r="A414">
        <v>10006580</v>
      </c>
      <c r="B414">
        <v>24159665</v>
      </c>
      <c r="C414">
        <v>7</v>
      </c>
      <c r="D414" s="1" t="s">
        <v>539</v>
      </c>
      <c r="E414">
        <v>9</v>
      </c>
    </row>
    <row r="415" spans="1:5" x14ac:dyDescent="0.2">
      <c r="A415">
        <v>10006580</v>
      </c>
      <c r="B415">
        <v>24159665</v>
      </c>
      <c r="C415">
        <v>10</v>
      </c>
      <c r="D415" s="1" t="s">
        <v>260</v>
      </c>
      <c r="E415">
        <v>9</v>
      </c>
    </row>
    <row r="416" spans="1:5" x14ac:dyDescent="0.2">
      <c r="A416">
        <v>10006580</v>
      </c>
      <c r="B416">
        <v>24159665</v>
      </c>
      <c r="C416">
        <v>6</v>
      </c>
      <c r="D416" s="1" t="s">
        <v>540</v>
      </c>
      <c r="E416">
        <v>9</v>
      </c>
    </row>
    <row r="417" spans="1:5" x14ac:dyDescent="0.2">
      <c r="A417">
        <v>10006580</v>
      </c>
      <c r="B417">
        <v>24159665</v>
      </c>
      <c r="C417">
        <v>3</v>
      </c>
      <c r="D417" s="1" t="s">
        <v>296</v>
      </c>
      <c r="E417">
        <v>9</v>
      </c>
    </row>
    <row r="418" spans="1:5" x14ac:dyDescent="0.2">
      <c r="A418">
        <v>10006580</v>
      </c>
      <c r="B418">
        <v>24159665</v>
      </c>
      <c r="C418">
        <v>5</v>
      </c>
      <c r="D418" s="1" t="s">
        <v>259</v>
      </c>
      <c r="E418">
        <v>9</v>
      </c>
    </row>
    <row r="419" spans="1:5" x14ac:dyDescent="0.2">
      <c r="A419">
        <v>10006580</v>
      </c>
      <c r="B419">
        <v>24159665</v>
      </c>
      <c r="C419">
        <v>8</v>
      </c>
      <c r="D419" s="1" t="s">
        <v>382</v>
      </c>
      <c r="E419">
        <v>9</v>
      </c>
    </row>
    <row r="420" spans="1:5" x14ac:dyDescent="0.2">
      <c r="A420">
        <v>10006580</v>
      </c>
      <c r="B420">
        <v>24159665</v>
      </c>
      <c r="C420">
        <v>1</v>
      </c>
      <c r="D420" s="1" t="s">
        <v>541</v>
      </c>
      <c r="E420">
        <v>9</v>
      </c>
    </row>
    <row r="421" spans="1:5" x14ac:dyDescent="0.2">
      <c r="A421">
        <v>10006580</v>
      </c>
      <c r="B421">
        <v>24159665</v>
      </c>
      <c r="C421">
        <v>2</v>
      </c>
      <c r="D421" s="1" t="s">
        <v>384</v>
      </c>
      <c r="E421">
        <v>9</v>
      </c>
    </row>
    <row r="422" spans="1:5" x14ac:dyDescent="0.2">
      <c r="A422">
        <v>10006580</v>
      </c>
      <c r="B422">
        <v>24159665</v>
      </c>
      <c r="C422">
        <v>4</v>
      </c>
      <c r="D422" s="1" t="s">
        <v>406</v>
      </c>
      <c r="E422">
        <v>9</v>
      </c>
    </row>
    <row r="423" spans="1:5" x14ac:dyDescent="0.2">
      <c r="A423">
        <v>10022880</v>
      </c>
      <c r="B423">
        <v>27708593</v>
      </c>
      <c r="C423">
        <v>9</v>
      </c>
      <c r="D423" s="1" t="s">
        <v>418</v>
      </c>
      <c r="E423">
        <v>9</v>
      </c>
    </row>
    <row r="424" spans="1:5" x14ac:dyDescent="0.2">
      <c r="A424">
        <v>10022880</v>
      </c>
      <c r="B424">
        <v>27708593</v>
      </c>
      <c r="C424">
        <v>6</v>
      </c>
      <c r="D424" s="1" t="s">
        <v>542</v>
      </c>
      <c r="E424">
        <v>9</v>
      </c>
    </row>
    <row r="425" spans="1:5" x14ac:dyDescent="0.2">
      <c r="A425">
        <v>10022880</v>
      </c>
      <c r="B425">
        <v>27708593</v>
      </c>
      <c r="C425">
        <v>7</v>
      </c>
      <c r="D425" s="1" t="s">
        <v>543</v>
      </c>
      <c r="E425">
        <v>9</v>
      </c>
    </row>
    <row r="426" spans="1:5" x14ac:dyDescent="0.2">
      <c r="A426">
        <v>10022880</v>
      </c>
      <c r="B426">
        <v>27708593</v>
      </c>
      <c r="C426">
        <v>8</v>
      </c>
      <c r="D426" s="1" t="s">
        <v>544</v>
      </c>
      <c r="E426">
        <v>9</v>
      </c>
    </row>
    <row r="427" spans="1:5" x14ac:dyDescent="0.2">
      <c r="A427">
        <v>10022880</v>
      </c>
      <c r="B427">
        <v>27708593</v>
      </c>
      <c r="C427">
        <v>3</v>
      </c>
      <c r="D427" s="1" t="s">
        <v>320</v>
      </c>
      <c r="E427">
        <v>9</v>
      </c>
    </row>
    <row r="428" spans="1:5" x14ac:dyDescent="0.2">
      <c r="A428">
        <v>10022880</v>
      </c>
      <c r="B428">
        <v>27708593</v>
      </c>
      <c r="C428">
        <v>5</v>
      </c>
      <c r="D428" s="1" t="s">
        <v>274</v>
      </c>
      <c r="E428">
        <v>9</v>
      </c>
    </row>
    <row r="429" spans="1:5" x14ac:dyDescent="0.2">
      <c r="A429">
        <v>10022880</v>
      </c>
      <c r="B429">
        <v>27708593</v>
      </c>
      <c r="C429">
        <v>2</v>
      </c>
      <c r="D429" s="1" t="s">
        <v>545</v>
      </c>
      <c r="E429">
        <v>9</v>
      </c>
    </row>
    <row r="430" spans="1:5" x14ac:dyDescent="0.2">
      <c r="A430">
        <v>10022880</v>
      </c>
      <c r="B430">
        <v>27708593</v>
      </c>
      <c r="C430">
        <v>4</v>
      </c>
      <c r="D430" s="1" t="s">
        <v>546</v>
      </c>
      <c r="E430">
        <v>9</v>
      </c>
    </row>
    <row r="431" spans="1:5" x14ac:dyDescent="0.2">
      <c r="A431">
        <v>10022880</v>
      </c>
      <c r="B431">
        <v>27708593</v>
      </c>
      <c r="C431">
        <v>1</v>
      </c>
      <c r="D431" s="1" t="s">
        <v>547</v>
      </c>
      <c r="E431">
        <v>9</v>
      </c>
    </row>
    <row r="432" spans="1:5" x14ac:dyDescent="0.2">
      <c r="A432">
        <v>10019172</v>
      </c>
      <c r="B432">
        <v>24997044</v>
      </c>
      <c r="C432">
        <v>4</v>
      </c>
      <c r="D432" s="1" t="s">
        <v>320</v>
      </c>
      <c r="E432">
        <v>9</v>
      </c>
    </row>
    <row r="433" spans="1:5" x14ac:dyDescent="0.2">
      <c r="A433">
        <v>10019172</v>
      </c>
      <c r="B433">
        <v>24997044</v>
      </c>
      <c r="C433">
        <v>2</v>
      </c>
      <c r="D433" s="1" t="s">
        <v>548</v>
      </c>
      <c r="E433">
        <v>9</v>
      </c>
    </row>
    <row r="434" spans="1:5" x14ac:dyDescent="0.2">
      <c r="A434">
        <v>10019172</v>
      </c>
      <c r="B434">
        <v>24997044</v>
      </c>
      <c r="C434">
        <v>6</v>
      </c>
      <c r="D434" s="1" t="s">
        <v>308</v>
      </c>
      <c r="E434">
        <v>9</v>
      </c>
    </row>
    <row r="435" spans="1:5" x14ac:dyDescent="0.2">
      <c r="A435">
        <v>10019172</v>
      </c>
      <c r="B435">
        <v>24997044</v>
      </c>
      <c r="C435">
        <v>1</v>
      </c>
      <c r="D435" s="1" t="s">
        <v>530</v>
      </c>
      <c r="E435">
        <v>9</v>
      </c>
    </row>
    <row r="436" spans="1:5" x14ac:dyDescent="0.2">
      <c r="A436">
        <v>10019172</v>
      </c>
      <c r="B436">
        <v>24997044</v>
      </c>
      <c r="C436">
        <v>3</v>
      </c>
      <c r="D436" s="1" t="s">
        <v>296</v>
      </c>
      <c r="E436">
        <v>9</v>
      </c>
    </row>
    <row r="437" spans="1:5" x14ac:dyDescent="0.2">
      <c r="A437">
        <v>10019172</v>
      </c>
      <c r="B437">
        <v>24997044</v>
      </c>
      <c r="C437">
        <v>5</v>
      </c>
      <c r="D437" s="1" t="s">
        <v>399</v>
      </c>
      <c r="E437">
        <v>9</v>
      </c>
    </row>
    <row r="438" spans="1:5" x14ac:dyDescent="0.2">
      <c r="A438">
        <v>10025612</v>
      </c>
      <c r="B438">
        <v>23403708</v>
      </c>
      <c r="C438">
        <v>8</v>
      </c>
      <c r="D438" s="1" t="s">
        <v>359</v>
      </c>
      <c r="E438">
        <v>9</v>
      </c>
    </row>
    <row r="439" spans="1:5" x14ac:dyDescent="0.2">
      <c r="A439">
        <v>10025612</v>
      </c>
      <c r="B439">
        <v>23403708</v>
      </c>
      <c r="C439">
        <v>11</v>
      </c>
      <c r="D439" s="1" t="s">
        <v>318</v>
      </c>
      <c r="E439">
        <v>9</v>
      </c>
    </row>
    <row r="440" spans="1:5" x14ac:dyDescent="0.2">
      <c r="A440">
        <v>10025612</v>
      </c>
      <c r="B440">
        <v>23403708</v>
      </c>
      <c r="C440">
        <v>1</v>
      </c>
      <c r="D440" s="1" t="s">
        <v>549</v>
      </c>
      <c r="E440">
        <v>9</v>
      </c>
    </row>
    <row r="441" spans="1:5" x14ac:dyDescent="0.2">
      <c r="A441">
        <v>10025612</v>
      </c>
      <c r="B441">
        <v>23403708</v>
      </c>
      <c r="C441">
        <v>15</v>
      </c>
      <c r="D441" s="1" t="s">
        <v>550</v>
      </c>
      <c r="E441">
        <v>9</v>
      </c>
    </row>
    <row r="442" spans="1:5" x14ac:dyDescent="0.2">
      <c r="A442">
        <v>10025612</v>
      </c>
      <c r="B442">
        <v>23403708</v>
      </c>
      <c r="C442">
        <v>14</v>
      </c>
      <c r="D442" s="1" t="s">
        <v>551</v>
      </c>
      <c r="E442">
        <v>9</v>
      </c>
    </row>
    <row r="443" spans="1:5" x14ac:dyDescent="0.2">
      <c r="A443">
        <v>10025612</v>
      </c>
      <c r="B443">
        <v>23403708</v>
      </c>
      <c r="C443">
        <v>2</v>
      </c>
      <c r="D443" s="1" t="s">
        <v>317</v>
      </c>
      <c r="E443">
        <v>9</v>
      </c>
    </row>
    <row r="444" spans="1:5" x14ac:dyDescent="0.2">
      <c r="A444">
        <v>10025612</v>
      </c>
      <c r="B444">
        <v>23403708</v>
      </c>
      <c r="C444">
        <v>9</v>
      </c>
      <c r="D444" s="1" t="s">
        <v>388</v>
      </c>
      <c r="E444">
        <v>9</v>
      </c>
    </row>
    <row r="445" spans="1:5" x14ac:dyDescent="0.2">
      <c r="A445">
        <v>10025612</v>
      </c>
      <c r="B445">
        <v>23403708</v>
      </c>
      <c r="C445">
        <v>12</v>
      </c>
      <c r="D445" s="1" t="s">
        <v>552</v>
      </c>
      <c r="E445">
        <v>9</v>
      </c>
    </row>
    <row r="446" spans="1:5" x14ac:dyDescent="0.2">
      <c r="A446">
        <v>10025612</v>
      </c>
      <c r="B446">
        <v>23403708</v>
      </c>
      <c r="C446">
        <v>16</v>
      </c>
      <c r="D446" s="1" t="s">
        <v>553</v>
      </c>
      <c r="E446">
        <v>9</v>
      </c>
    </row>
    <row r="447" spans="1:5" x14ac:dyDescent="0.2">
      <c r="A447">
        <v>10025612</v>
      </c>
      <c r="B447">
        <v>23403708</v>
      </c>
      <c r="C447">
        <v>13</v>
      </c>
      <c r="D447" s="1" t="s">
        <v>554</v>
      </c>
      <c r="E447">
        <v>9</v>
      </c>
    </row>
    <row r="448" spans="1:5" x14ac:dyDescent="0.2">
      <c r="A448">
        <v>10025612</v>
      </c>
      <c r="B448">
        <v>23403708</v>
      </c>
      <c r="C448">
        <v>6</v>
      </c>
      <c r="D448" s="1" t="s">
        <v>285</v>
      </c>
      <c r="E448">
        <v>9</v>
      </c>
    </row>
    <row r="449" spans="1:5" x14ac:dyDescent="0.2">
      <c r="A449">
        <v>10025612</v>
      </c>
      <c r="B449">
        <v>23403708</v>
      </c>
      <c r="C449">
        <v>4</v>
      </c>
      <c r="D449" s="1" t="s">
        <v>526</v>
      </c>
      <c r="E449">
        <v>9</v>
      </c>
    </row>
    <row r="450" spans="1:5" x14ac:dyDescent="0.2">
      <c r="A450">
        <v>10025612</v>
      </c>
      <c r="B450">
        <v>23403708</v>
      </c>
      <c r="C450">
        <v>10</v>
      </c>
      <c r="D450" s="1" t="s">
        <v>555</v>
      </c>
      <c r="E450">
        <v>9</v>
      </c>
    </row>
    <row r="451" spans="1:5" x14ac:dyDescent="0.2">
      <c r="A451">
        <v>10025612</v>
      </c>
      <c r="B451">
        <v>23403708</v>
      </c>
      <c r="C451">
        <v>7</v>
      </c>
      <c r="D451" s="1" t="s">
        <v>556</v>
      </c>
      <c r="E451">
        <v>9</v>
      </c>
    </row>
    <row r="452" spans="1:5" x14ac:dyDescent="0.2">
      <c r="A452">
        <v>10025612</v>
      </c>
      <c r="B452">
        <v>23403708</v>
      </c>
      <c r="C452">
        <v>3</v>
      </c>
      <c r="D452" s="1" t="s">
        <v>287</v>
      </c>
      <c r="E452">
        <v>9</v>
      </c>
    </row>
    <row r="453" spans="1:5" x14ac:dyDescent="0.2">
      <c r="A453">
        <v>10025612</v>
      </c>
      <c r="B453">
        <v>23403708</v>
      </c>
      <c r="C453">
        <v>5</v>
      </c>
      <c r="D453" s="1" t="s">
        <v>557</v>
      </c>
      <c r="E453">
        <v>9</v>
      </c>
    </row>
    <row r="454" spans="1:5" x14ac:dyDescent="0.2">
      <c r="A454">
        <v>10020786</v>
      </c>
      <c r="B454">
        <v>23488445</v>
      </c>
      <c r="C454">
        <v>4</v>
      </c>
      <c r="D454" s="1" t="s">
        <v>324</v>
      </c>
      <c r="E454">
        <v>10</v>
      </c>
    </row>
    <row r="455" spans="1:5" x14ac:dyDescent="0.2">
      <c r="A455">
        <v>10020786</v>
      </c>
      <c r="B455">
        <v>23488445</v>
      </c>
      <c r="C455">
        <v>5</v>
      </c>
      <c r="D455" s="1" t="s">
        <v>558</v>
      </c>
      <c r="E455">
        <v>10</v>
      </c>
    </row>
    <row r="456" spans="1:5" x14ac:dyDescent="0.2">
      <c r="A456">
        <v>10020786</v>
      </c>
      <c r="B456">
        <v>23488445</v>
      </c>
      <c r="C456">
        <v>2</v>
      </c>
      <c r="D456" s="1" t="s">
        <v>559</v>
      </c>
      <c r="E456">
        <v>10</v>
      </c>
    </row>
    <row r="457" spans="1:5" x14ac:dyDescent="0.2">
      <c r="A457">
        <v>10020786</v>
      </c>
      <c r="B457">
        <v>23488445</v>
      </c>
      <c r="C457">
        <v>12</v>
      </c>
      <c r="D457" s="1" t="s">
        <v>379</v>
      </c>
      <c r="E457">
        <v>10</v>
      </c>
    </row>
    <row r="458" spans="1:5" x14ac:dyDescent="0.2">
      <c r="A458">
        <v>10020786</v>
      </c>
      <c r="B458">
        <v>23488445</v>
      </c>
      <c r="C458">
        <v>9</v>
      </c>
      <c r="D458" s="1" t="s">
        <v>560</v>
      </c>
      <c r="E458">
        <v>10</v>
      </c>
    </row>
    <row r="459" spans="1:5" x14ac:dyDescent="0.2">
      <c r="A459">
        <v>10020786</v>
      </c>
      <c r="B459">
        <v>23488445</v>
      </c>
      <c r="C459">
        <v>3</v>
      </c>
      <c r="D459" s="1" t="s">
        <v>561</v>
      </c>
      <c r="E459">
        <v>10</v>
      </c>
    </row>
    <row r="460" spans="1:5" x14ac:dyDescent="0.2">
      <c r="A460">
        <v>10020786</v>
      </c>
      <c r="B460">
        <v>23488445</v>
      </c>
      <c r="C460">
        <v>7</v>
      </c>
      <c r="D460" s="1" t="s">
        <v>446</v>
      </c>
      <c r="E460">
        <v>10</v>
      </c>
    </row>
    <row r="461" spans="1:5" x14ac:dyDescent="0.2">
      <c r="A461">
        <v>10020786</v>
      </c>
      <c r="B461">
        <v>23488445</v>
      </c>
      <c r="C461">
        <v>13</v>
      </c>
      <c r="D461" s="1" t="s">
        <v>562</v>
      </c>
      <c r="E461">
        <v>10</v>
      </c>
    </row>
    <row r="462" spans="1:5" x14ac:dyDescent="0.2">
      <c r="A462">
        <v>10020786</v>
      </c>
      <c r="B462">
        <v>23488445</v>
      </c>
      <c r="C462">
        <v>10</v>
      </c>
      <c r="D462" s="1" t="s">
        <v>563</v>
      </c>
      <c r="E462">
        <v>10</v>
      </c>
    </row>
    <row r="463" spans="1:5" x14ac:dyDescent="0.2">
      <c r="A463">
        <v>10020786</v>
      </c>
      <c r="B463">
        <v>23488445</v>
      </c>
      <c r="C463">
        <v>11</v>
      </c>
      <c r="D463" s="1" t="s">
        <v>430</v>
      </c>
      <c r="E463">
        <v>10</v>
      </c>
    </row>
    <row r="464" spans="1:5" x14ac:dyDescent="0.2">
      <c r="A464">
        <v>10020786</v>
      </c>
      <c r="B464">
        <v>23488445</v>
      </c>
      <c r="C464">
        <v>6</v>
      </c>
      <c r="D464" s="1" t="s">
        <v>328</v>
      </c>
      <c r="E464">
        <v>10</v>
      </c>
    </row>
    <row r="465" spans="1:5" x14ac:dyDescent="0.2">
      <c r="A465">
        <v>10020786</v>
      </c>
      <c r="B465">
        <v>23488445</v>
      </c>
      <c r="C465">
        <v>1</v>
      </c>
      <c r="D465" s="1" t="s">
        <v>564</v>
      </c>
      <c r="E465">
        <v>10</v>
      </c>
    </row>
    <row r="466" spans="1:5" x14ac:dyDescent="0.2">
      <c r="A466">
        <v>10020786</v>
      </c>
      <c r="B466">
        <v>23488445</v>
      </c>
      <c r="C466">
        <v>8</v>
      </c>
      <c r="D466" s="1" t="s">
        <v>329</v>
      </c>
      <c r="E466">
        <v>10</v>
      </c>
    </row>
    <row r="467" spans="1:5" x14ac:dyDescent="0.2">
      <c r="A467">
        <v>10036156</v>
      </c>
      <c r="B467">
        <v>28019404</v>
      </c>
      <c r="C467">
        <v>5</v>
      </c>
      <c r="D467" s="1" t="s">
        <v>259</v>
      </c>
      <c r="E467">
        <v>9</v>
      </c>
    </row>
    <row r="468" spans="1:5" x14ac:dyDescent="0.2">
      <c r="A468">
        <v>10036156</v>
      </c>
      <c r="B468">
        <v>28019404</v>
      </c>
      <c r="C468">
        <v>3</v>
      </c>
      <c r="D468" s="1" t="s">
        <v>565</v>
      </c>
      <c r="E468">
        <v>9</v>
      </c>
    </row>
    <row r="469" spans="1:5" x14ac:dyDescent="0.2">
      <c r="A469">
        <v>10036156</v>
      </c>
      <c r="B469">
        <v>28019404</v>
      </c>
      <c r="C469">
        <v>6</v>
      </c>
      <c r="D469" s="1" t="s">
        <v>515</v>
      </c>
      <c r="E469">
        <v>9</v>
      </c>
    </row>
    <row r="470" spans="1:5" x14ac:dyDescent="0.2">
      <c r="A470">
        <v>10036156</v>
      </c>
      <c r="B470">
        <v>28019404</v>
      </c>
      <c r="C470">
        <v>4</v>
      </c>
      <c r="D470" s="1" t="s">
        <v>384</v>
      </c>
      <c r="E470">
        <v>9</v>
      </c>
    </row>
    <row r="471" spans="1:5" x14ac:dyDescent="0.2">
      <c r="A471">
        <v>10036156</v>
      </c>
      <c r="B471">
        <v>28019404</v>
      </c>
      <c r="C471">
        <v>9</v>
      </c>
      <c r="D471" s="1" t="s">
        <v>276</v>
      </c>
      <c r="E471">
        <v>9</v>
      </c>
    </row>
    <row r="472" spans="1:5" x14ac:dyDescent="0.2">
      <c r="A472">
        <v>10036156</v>
      </c>
      <c r="B472">
        <v>28019404</v>
      </c>
      <c r="C472">
        <v>2</v>
      </c>
      <c r="D472" s="1" t="s">
        <v>566</v>
      </c>
      <c r="E472">
        <v>9</v>
      </c>
    </row>
    <row r="473" spans="1:5" x14ac:dyDescent="0.2">
      <c r="A473">
        <v>10036156</v>
      </c>
      <c r="B473">
        <v>28019404</v>
      </c>
      <c r="C473">
        <v>11</v>
      </c>
      <c r="D473" s="1" t="s">
        <v>270</v>
      </c>
      <c r="E473">
        <v>9</v>
      </c>
    </row>
    <row r="474" spans="1:5" x14ac:dyDescent="0.2">
      <c r="A474">
        <v>10036156</v>
      </c>
      <c r="B474">
        <v>28019404</v>
      </c>
      <c r="C474">
        <v>8</v>
      </c>
      <c r="D474" s="1" t="s">
        <v>420</v>
      </c>
      <c r="E474">
        <v>9</v>
      </c>
    </row>
    <row r="475" spans="1:5" x14ac:dyDescent="0.2">
      <c r="A475">
        <v>10036156</v>
      </c>
      <c r="B475">
        <v>28019404</v>
      </c>
      <c r="C475">
        <v>10</v>
      </c>
      <c r="D475" s="1" t="s">
        <v>296</v>
      </c>
      <c r="E475">
        <v>9</v>
      </c>
    </row>
    <row r="476" spans="1:5" x14ac:dyDescent="0.2">
      <c r="A476">
        <v>10036156</v>
      </c>
      <c r="B476">
        <v>28019404</v>
      </c>
      <c r="C476">
        <v>7</v>
      </c>
      <c r="D476" s="1" t="s">
        <v>567</v>
      </c>
      <c r="E476">
        <v>9</v>
      </c>
    </row>
    <row r="477" spans="1:5" x14ac:dyDescent="0.2">
      <c r="A477">
        <v>10036156</v>
      </c>
      <c r="B477">
        <v>28019404</v>
      </c>
      <c r="C477">
        <v>1</v>
      </c>
      <c r="D477" s="1" t="s">
        <v>518</v>
      </c>
      <c r="E477">
        <v>9</v>
      </c>
    </row>
    <row r="478" spans="1:5" x14ac:dyDescent="0.2">
      <c r="A478">
        <v>10005909</v>
      </c>
      <c r="B478">
        <v>20199380</v>
      </c>
      <c r="C478">
        <v>3</v>
      </c>
      <c r="D478" s="1" t="s">
        <v>568</v>
      </c>
      <c r="E478">
        <v>10</v>
      </c>
    </row>
    <row r="479" spans="1:5" x14ac:dyDescent="0.2">
      <c r="A479">
        <v>10005909</v>
      </c>
      <c r="B479">
        <v>20199380</v>
      </c>
      <c r="C479">
        <v>2</v>
      </c>
      <c r="D479" s="1" t="s">
        <v>569</v>
      </c>
      <c r="E479">
        <v>10</v>
      </c>
    </row>
    <row r="480" spans="1:5" x14ac:dyDescent="0.2">
      <c r="A480">
        <v>10005909</v>
      </c>
      <c r="B480">
        <v>20199380</v>
      </c>
      <c r="C480">
        <v>4</v>
      </c>
      <c r="D480" s="1" t="s">
        <v>570</v>
      </c>
      <c r="E480">
        <v>10</v>
      </c>
    </row>
    <row r="481" spans="1:5" x14ac:dyDescent="0.2">
      <c r="A481">
        <v>10005909</v>
      </c>
      <c r="B481">
        <v>20199380</v>
      </c>
      <c r="C481">
        <v>5</v>
      </c>
      <c r="D481" s="1" t="s">
        <v>571</v>
      </c>
      <c r="E481">
        <v>10</v>
      </c>
    </row>
    <row r="482" spans="1:5" x14ac:dyDescent="0.2">
      <c r="A482">
        <v>10005909</v>
      </c>
      <c r="B482">
        <v>20199380</v>
      </c>
      <c r="C482">
        <v>1</v>
      </c>
      <c r="D482" s="1" t="s">
        <v>572</v>
      </c>
      <c r="E482">
        <v>10</v>
      </c>
    </row>
    <row r="483" spans="1:5" x14ac:dyDescent="0.2">
      <c r="A483">
        <v>10019385</v>
      </c>
      <c r="B483">
        <v>20611796</v>
      </c>
      <c r="C483">
        <v>5</v>
      </c>
      <c r="D483" s="1" t="s">
        <v>444</v>
      </c>
      <c r="E483">
        <v>10</v>
      </c>
    </row>
    <row r="484" spans="1:5" x14ac:dyDescent="0.2">
      <c r="A484">
        <v>10019385</v>
      </c>
      <c r="B484">
        <v>20611796</v>
      </c>
      <c r="C484">
        <v>6</v>
      </c>
      <c r="D484" s="1" t="s">
        <v>477</v>
      </c>
      <c r="E484">
        <v>10</v>
      </c>
    </row>
    <row r="485" spans="1:5" x14ac:dyDescent="0.2">
      <c r="A485">
        <v>10019385</v>
      </c>
      <c r="B485">
        <v>20611796</v>
      </c>
      <c r="C485">
        <v>1</v>
      </c>
      <c r="D485" s="1" t="s">
        <v>573</v>
      </c>
      <c r="E485">
        <v>10</v>
      </c>
    </row>
    <row r="486" spans="1:5" x14ac:dyDescent="0.2">
      <c r="A486">
        <v>10019385</v>
      </c>
      <c r="B486">
        <v>20611796</v>
      </c>
      <c r="C486">
        <v>2</v>
      </c>
      <c r="D486" s="1" t="s">
        <v>329</v>
      </c>
      <c r="E486">
        <v>10</v>
      </c>
    </row>
    <row r="487" spans="1:5" x14ac:dyDescent="0.2">
      <c r="A487">
        <v>10019385</v>
      </c>
      <c r="B487">
        <v>20611796</v>
      </c>
      <c r="C487">
        <v>4</v>
      </c>
      <c r="D487" s="1" t="s">
        <v>434</v>
      </c>
      <c r="E487">
        <v>10</v>
      </c>
    </row>
    <row r="488" spans="1:5" x14ac:dyDescent="0.2">
      <c r="A488">
        <v>10019385</v>
      </c>
      <c r="B488">
        <v>20611796</v>
      </c>
      <c r="C488">
        <v>3</v>
      </c>
      <c r="D488" s="1" t="s">
        <v>574</v>
      </c>
      <c r="E488">
        <v>10</v>
      </c>
    </row>
    <row r="489" spans="1:5" x14ac:dyDescent="0.2">
      <c r="A489">
        <v>10019385</v>
      </c>
      <c r="B489">
        <v>20611796</v>
      </c>
      <c r="C489">
        <v>7</v>
      </c>
      <c r="D489" s="1" t="s">
        <v>438</v>
      </c>
      <c r="E489">
        <v>10</v>
      </c>
    </row>
    <row r="490" spans="1:5" x14ac:dyDescent="0.2">
      <c r="A490">
        <v>10024043</v>
      </c>
      <c r="B490">
        <v>24717014</v>
      </c>
      <c r="C490">
        <v>13</v>
      </c>
      <c r="D490" s="1" t="s">
        <v>575</v>
      </c>
      <c r="E490">
        <v>9</v>
      </c>
    </row>
    <row r="491" spans="1:5" x14ac:dyDescent="0.2">
      <c r="A491">
        <v>10024043</v>
      </c>
      <c r="B491">
        <v>24717014</v>
      </c>
      <c r="C491">
        <v>4</v>
      </c>
      <c r="D491" s="1" t="s">
        <v>416</v>
      </c>
      <c r="E491">
        <v>9</v>
      </c>
    </row>
    <row r="492" spans="1:5" x14ac:dyDescent="0.2">
      <c r="A492">
        <v>10024043</v>
      </c>
      <c r="B492">
        <v>24717014</v>
      </c>
      <c r="C492">
        <v>9</v>
      </c>
      <c r="D492" s="1" t="s">
        <v>258</v>
      </c>
      <c r="E492">
        <v>9</v>
      </c>
    </row>
    <row r="493" spans="1:5" x14ac:dyDescent="0.2">
      <c r="A493">
        <v>10024043</v>
      </c>
      <c r="B493">
        <v>24717014</v>
      </c>
      <c r="C493">
        <v>6</v>
      </c>
      <c r="D493" s="1" t="s">
        <v>576</v>
      </c>
      <c r="E493">
        <v>9</v>
      </c>
    </row>
    <row r="494" spans="1:5" x14ac:dyDescent="0.2">
      <c r="A494">
        <v>10024043</v>
      </c>
      <c r="B494">
        <v>24717014</v>
      </c>
      <c r="C494">
        <v>12</v>
      </c>
      <c r="D494" s="1" t="s">
        <v>577</v>
      </c>
      <c r="E494">
        <v>9</v>
      </c>
    </row>
    <row r="495" spans="1:5" x14ac:dyDescent="0.2">
      <c r="A495">
        <v>10024043</v>
      </c>
      <c r="B495">
        <v>24717014</v>
      </c>
      <c r="C495">
        <v>7</v>
      </c>
      <c r="D495" s="1" t="s">
        <v>384</v>
      </c>
      <c r="E495">
        <v>9</v>
      </c>
    </row>
    <row r="496" spans="1:5" x14ac:dyDescent="0.2">
      <c r="A496">
        <v>10024043</v>
      </c>
      <c r="B496">
        <v>24717014</v>
      </c>
      <c r="C496">
        <v>11</v>
      </c>
      <c r="D496" s="1" t="s">
        <v>359</v>
      </c>
      <c r="E496">
        <v>9</v>
      </c>
    </row>
    <row r="497" spans="1:5" x14ac:dyDescent="0.2">
      <c r="A497">
        <v>10024043</v>
      </c>
      <c r="B497">
        <v>24717014</v>
      </c>
      <c r="C497">
        <v>14</v>
      </c>
      <c r="D497" s="1" t="s">
        <v>578</v>
      </c>
      <c r="E497">
        <v>9</v>
      </c>
    </row>
    <row r="498" spans="1:5" x14ac:dyDescent="0.2">
      <c r="A498">
        <v>10024043</v>
      </c>
      <c r="B498">
        <v>24717014</v>
      </c>
      <c r="C498">
        <v>1</v>
      </c>
      <c r="D498" s="1" t="s">
        <v>579</v>
      </c>
      <c r="E498">
        <v>9</v>
      </c>
    </row>
    <row r="499" spans="1:5" x14ac:dyDescent="0.2">
      <c r="A499">
        <v>10024043</v>
      </c>
      <c r="B499">
        <v>24717014</v>
      </c>
      <c r="C499">
        <v>3</v>
      </c>
      <c r="D499" s="1" t="s">
        <v>413</v>
      </c>
      <c r="E499">
        <v>9</v>
      </c>
    </row>
    <row r="500" spans="1:5" x14ac:dyDescent="0.2">
      <c r="A500">
        <v>10024043</v>
      </c>
      <c r="B500">
        <v>24717014</v>
      </c>
      <c r="C500">
        <v>8</v>
      </c>
      <c r="D500" s="1" t="s">
        <v>580</v>
      </c>
      <c r="E500">
        <v>9</v>
      </c>
    </row>
    <row r="501" spans="1:5" x14ac:dyDescent="0.2">
      <c r="A501">
        <v>10024043</v>
      </c>
      <c r="B501">
        <v>24717014</v>
      </c>
      <c r="C501">
        <v>5</v>
      </c>
      <c r="D501" s="1" t="s">
        <v>293</v>
      </c>
      <c r="E501">
        <v>9</v>
      </c>
    </row>
    <row r="502" spans="1:5" x14ac:dyDescent="0.2">
      <c r="A502">
        <v>10024043</v>
      </c>
      <c r="B502">
        <v>24717014</v>
      </c>
      <c r="C502">
        <v>10</v>
      </c>
      <c r="D502" s="1" t="s">
        <v>357</v>
      </c>
      <c r="E502">
        <v>9</v>
      </c>
    </row>
    <row r="503" spans="1:5" x14ac:dyDescent="0.2">
      <c r="A503">
        <v>10024043</v>
      </c>
      <c r="B503">
        <v>24717014</v>
      </c>
      <c r="C503">
        <v>2</v>
      </c>
      <c r="D503" s="1" t="s">
        <v>581</v>
      </c>
      <c r="E503">
        <v>9</v>
      </c>
    </row>
    <row r="504" spans="1:5" x14ac:dyDescent="0.2">
      <c r="A504">
        <v>10014078</v>
      </c>
      <c r="B504">
        <v>25809882</v>
      </c>
      <c r="C504">
        <v>3</v>
      </c>
      <c r="D504" s="1" t="s">
        <v>582</v>
      </c>
      <c r="E504">
        <v>9</v>
      </c>
    </row>
    <row r="505" spans="1:5" x14ac:dyDescent="0.2">
      <c r="A505">
        <v>10014078</v>
      </c>
      <c r="B505">
        <v>25809882</v>
      </c>
      <c r="C505">
        <v>1</v>
      </c>
      <c r="D505" s="1" t="s">
        <v>344</v>
      </c>
      <c r="E505">
        <v>9</v>
      </c>
    </row>
    <row r="506" spans="1:5" x14ac:dyDescent="0.2">
      <c r="A506">
        <v>10014078</v>
      </c>
      <c r="B506">
        <v>25809882</v>
      </c>
      <c r="C506">
        <v>7</v>
      </c>
      <c r="D506" s="1" t="s">
        <v>296</v>
      </c>
      <c r="E506">
        <v>9</v>
      </c>
    </row>
    <row r="507" spans="1:5" x14ac:dyDescent="0.2">
      <c r="A507">
        <v>10014078</v>
      </c>
      <c r="B507">
        <v>25809882</v>
      </c>
      <c r="C507">
        <v>2</v>
      </c>
      <c r="D507" s="1" t="s">
        <v>389</v>
      </c>
      <c r="E507">
        <v>9</v>
      </c>
    </row>
    <row r="508" spans="1:5" x14ac:dyDescent="0.2">
      <c r="A508">
        <v>10014078</v>
      </c>
      <c r="B508">
        <v>25809882</v>
      </c>
      <c r="C508">
        <v>5</v>
      </c>
      <c r="D508" s="1" t="s">
        <v>259</v>
      </c>
      <c r="E508">
        <v>9</v>
      </c>
    </row>
    <row r="509" spans="1:5" x14ac:dyDescent="0.2">
      <c r="A509">
        <v>10014078</v>
      </c>
      <c r="B509">
        <v>25809882</v>
      </c>
      <c r="C509">
        <v>4</v>
      </c>
      <c r="D509" s="1" t="s">
        <v>583</v>
      </c>
      <c r="E509">
        <v>9</v>
      </c>
    </row>
    <row r="510" spans="1:5" x14ac:dyDescent="0.2">
      <c r="A510">
        <v>10014078</v>
      </c>
      <c r="B510">
        <v>25809882</v>
      </c>
      <c r="C510">
        <v>6</v>
      </c>
      <c r="D510" s="1" t="s">
        <v>384</v>
      </c>
      <c r="E510">
        <v>9</v>
      </c>
    </row>
    <row r="511" spans="1:5" x14ac:dyDescent="0.2">
      <c r="A511">
        <v>10001217</v>
      </c>
      <c r="B511">
        <v>27703517</v>
      </c>
      <c r="C511">
        <v>3</v>
      </c>
      <c r="D511" s="1" t="s">
        <v>306</v>
      </c>
      <c r="E511">
        <v>9</v>
      </c>
    </row>
    <row r="512" spans="1:5" x14ac:dyDescent="0.2">
      <c r="A512">
        <v>10001217</v>
      </c>
      <c r="B512">
        <v>27703517</v>
      </c>
      <c r="C512">
        <v>2</v>
      </c>
      <c r="D512" s="1" t="s">
        <v>303</v>
      </c>
      <c r="E512">
        <v>9</v>
      </c>
    </row>
    <row r="513" spans="1:5" x14ac:dyDescent="0.2">
      <c r="A513">
        <v>10001217</v>
      </c>
      <c r="B513">
        <v>27703517</v>
      </c>
      <c r="C513">
        <v>1</v>
      </c>
      <c r="D513" s="1" t="s">
        <v>305</v>
      </c>
      <c r="E513">
        <v>9</v>
      </c>
    </row>
    <row r="514" spans="1:5" x14ac:dyDescent="0.2">
      <c r="A514">
        <v>10001217</v>
      </c>
      <c r="B514">
        <v>27703517</v>
      </c>
      <c r="C514">
        <v>7</v>
      </c>
      <c r="D514" s="1" t="s">
        <v>308</v>
      </c>
      <c r="E514">
        <v>9</v>
      </c>
    </row>
    <row r="515" spans="1:5" x14ac:dyDescent="0.2">
      <c r="A515">
        <v>10001217</v>
      </c>
      <c r="B515">
        <v>27703517</v>
      </c>
      <c r="C515">
        <v>4</v>
      </c>
      <c r="D515" s="1" t="s">
        <v>584</v>
      </c>
      <c r="E515">
        <v>9</v>
      </c>
    </row>
    <row r="516" spans="1:5" x14ac:dyDescent="0.2">
      <c r="A516">
        <v>10001217</v>
      </c>
      <c r="B516">
        <v>27703517</v>
      </c>
      <c r="C516">
        <v>5</v>
      </c>
      <c r="D516" s="1" t="s">
        <v>585</v>
      </c>
      <c r="E516">
        <v>9</v>
      </c>
    </row>
    <row r="517" spans="1:5" x14ac:dyDescent="0.2">
      <c r="A517">
        <v>10001217</v>
      </c>
      <c r="B517">
        <v>27703517</v>
      </c>
      <c r="C517">
        <v>6</v>
      </c>
      <c r="D517" s="1" t="s">
        <v>296</v>
      </c>
      <c r="E517">
        <v>9</v>
      </c>
    </row>
    <row r="518" spans="1:5" x14ac:dyDescent="0.2">
      <c r="A518">
        <v>10008454</v>
      </c>
      <c r="B518">
        <v>20291550</v>
      </c>
      <c r="C518">
        <v>4</v>
      </c>
      <c r="D518" s="1" t="s">
        <v>586</v>
      </c>
      <c r="E518">
        <v>9</v>
      </c>
    </row>
    <row r="519" spans="1:5" x14ac:dyDescent="0.2">
      <c r="A519">
        <v>10008454</v>
      </c>
      <c r="B519">
        <v>20291550</v>
      </c>
      <c r="C519">
        <v>11</v>
      </c>
      <c r="D519" s="1" t="s">
        <v>418</v>
      </c>
      <c r="E519">
        <v>9</v>
      </c>
    </row>
    <row r="520" spans="1:5" x14ac:dyDescent="0.2">
      <c r="A520">
        <v>10008454</v>
      </c>
      <c r="B520">
        <v>20291550</v>
      </c>
      <c r="C520">
        <v>5</v>
      </c>
      <c r="D520" s="1" t="s">
        <v>409</v>
      </c>
      <c r="E520">
        <v>9</v>
      </c>
    </row>
    <row r="521" spans="1:5" x14ac:dyDescent="0.2">
      <c r="A521">
        <v>10008454</v>
      </c>
      <c r="B521">
        <v>20291550</v>
      </c>
      <c r="C521">
        <v>3</v>
      </c>
      <c r="D521" s="1" t="s">
        <v>587</v>
      </c>
      <c r="E521">
        <v>9</v>
      </c>
    </row>
    <row r="522" spans="1:5" x14ac:dyDescent="0.2">
      <c r="A522">
        <v>10008454</v>
      </c>
      <c r="B522">
        <v>20291550</v>
      </c>
      <c r="C522">
        <v>10</v>
      </c>
      <c r="D522" s="1" t="s">
        <v>261</v>
      </c>
      <c r="E522">
        <v>9</v>
      </c>
    </row>
    <row r="523" spans="1:5" x14ac:dyDescent="0.2">
      <c r="A523">
        <v>10008454</v>
      </c>
      <c r="B523">
        <v>20291550</v>
      </c>
      <c r="C523">
        <v>1</v>
      </c>
      <c r="D523" s="1" t="s">
        <v>588</v>
      </c>
      <c r="E523">
        <v>9</v>
      </c>
    </row>
    <row r="524" spans="1:5" x14ac:dyDescent="0.2">
      <c r="A524">
        <v>10008454</v>
      </c>
      <c r="B524">
        <v>20291550</v>
      </c>
      <c r="C524">
        <v>2</v>
      </c>
      <c r="D524" s="1" t="s">
        <v>371</v>
      </c>
      <c r="E524">
        <v>9</v>
      </c>
    </row>
    <row r="525" spans="1:5" x14ac:dyDescent="0.2">
      <c r="A525">
        <v>10008454</v>
      </c>
      <c r="B525">
        <v>20291550</v>
      </c>
      <c r="C525">
        <v>6</v>
      </c>
      <c r="D525" s="1" t="s">
        <v>372</v>
      </c>
      <c r="E525">
        <v>9</v>
      </c>
    </row>
    <row r="526" spans="1:5" x14ac:dyDescent="0.2">
      <c r="A526">
        <v>10008454</v>
      </c>
      <c r="B526">
        <v>20291550</v>
      </c>
      <c r="C526">
        <v>8</v>
      </c>
      <c r="D526" s="1" t="s">
        <v>298</v>
      </c>
      <c r="E526">
        <v>9</v>
      </c>
    </row>
    <row r="527" spans="1:5" x14ac:dyDescent="0.2">
      <c r="A527">
        <v>10008454</v>
      </c>
      <c r="B527">
        <v>20291550</v>
      </c>
      <c r="C527">
        <v>9</v>
      </c>
      <c r="D527" s="1" t="s">
        <v>308</v>
      </c>
      <c r="E527">
        <v>9</v>
      </c>
    </row>
    <row r="528" spans="1:5" x14ac:dyDescent="0.2">
      <c r="A528">
        <v>10008454</v>
      </c>
      <c r="B528">
        <v>20291550</v>
      </c>
      <c r="C528">
        <v>7</v>
      </c>
      <c r="D528" s="1" t="s">
        <v>589</v>
      </c>
      <c r="E528">
        <v>9</v>
      </c>
    </row>
    <row r="529" spans="1:5" x14ac:dyDescent="0.2">
      <c r="A529">
        <v>10026406</v>
      </c>
      <c r="B529">
        <v>25166559</v>
      </c>
      <c r="C529">
        <v>6</v>
      </c>
      <c r="D529" s="1" t="s">
        <v>478</v>
      </c>
      <c r="E529">
        <v>10</v>
      </c>
    </row>
    <row r="530" spans="1:5" x14ac:dyDescent="0.2">
      <c r="A530">
        <v>10026406</v>
      </c>
      <c r="B530">
        <v>25166559</v>
      </c>
      <c r="C530">
        <v>2</v>
      </c>
      <c r="D530" s="1" t="s">
        <v>590</v>
      </c>
      <c r="E530">
        <v>10</v>
      </c>
    </row>
    <row r="531" spans="1:5" x14ac:dyDescent="0.2">
      <c r="A531">
        <v>10026406</v>
      </c>
      <c r="B531">
        <v>25166559</v>
      </c>
      <c r="C531">
        <v>4</v>
      </c>
      <c r="D531" s="1" t="s">
        <v>574</v>
      </c>
      <c r="E531">
        <v>10</v>
      </c>
    </row>
    <row r="532" spans="1:5" x14ac:dyDescent="0.2">
      <c r="A532">
        <v>10026406</v>
      </c>
      <c r="B532">
        <v>25166559</v>
      </c>
      <c r="C532">
        <v>3</v>
      </c>
      <c r="D532" s="1" t="s">
        <v>591</v>
      </c>
      <c r="E532">
        <v>10</v>
      </c>
    </row>
    <row r="533" spans="1:5" x14ac:dyDescent="0.2">
      <c r="A533">
        <v>10026406</v>
      </c>
      <c r="B533">
        <v>25166559</v>
      </c>
      <c r="C533">
        <v>1</v>
      </c>
      <c r="D533" s="1" t="s">
        <v>592</v>
      </c>
      <c r="E533">
        <v>10</v>
      </c>
    </row>
    <row r="534" spans="1:5" x14ac:dyDescent="0.2">
      <c r="A534">
        <v>10026406</v>
      </c>
      <c r="B534">
        <v>25166559</v>
      </c>
      <c r="C534">
        <v>7</v>
      </c>
      <c r="D534" s="1" t="s">
        <v>593</v>
      </c>
      <c r="E534">
        <v>10</v>
      </c>
    </row>
    <row r="535" spans="1:5" x14ac:dyDescent="0.2">
      <c r="A535">
        <v>10026406</v>
      </c>
      <c r="B535">
        <v>25166559</v>
      </c>
      <c r="C535">
        <v>5</v>
      </c>
      <c r="D535" s="1" t="s">
        <v>594</v>
      </c>
      <c r="E535">
        <v>10</v>
      </c>
    </row>
    <row r="536" spans="1:5" x14ac:dyDescent="0.2">
      <c r="A536">
        <v>10004422</v>
      </c>
      <c r="B536">
        <v>21255400</v>
      </c>
      <c r="C536">
        <v>10</v>
      </c>
      <c r="D536" s="1" t="s">
        <v>281</v>
      </c>
      <c r="E536">
        <v>9</v>
      </c>
    </row>
    <row r="537" spans="1:5" x14ac:dyDescent="0.2">
      <c r="A537">
        <v>10004422</v>
      </c>
      <c r="B537">
        <v>21255400</v>
      </c>
      <c r="C537">
        <v>6</v>
      </c>
      <c r="D537" s="1" t="s">
        <v>466</v>
      </c>
      <c r="E537">
        <v>9</v>
      </c>
    </row>
    <row r="538" spans="1:5" x14ac:dyDescent="0.2">
      <c r="A538">
        <v>10004422</v>
      </c>
      <c r="B538">
        <v>21255400</v>
      </c>
      <c r="C538">
        <v>13</v>
      </c>
      <c r="D538" s="1" t="s">
        <v>285</v>
      </c>
      <c r="E538">
        <v>9</v>
      </c>
    </row>
    <row r="539" spans="1:5" x14ac:dyDescent="0.2">
      <c r="A539">
        <v>10004422</v>
      </c>
      <c r="B539">
        <v>21255400</v>
      </c>
      <c r="C539">
        <v>4</v>
      </c>
      <c r="D539" s="1" t="s">
        <v>595</v>
      </c>
      <c r="E539">
        <v>9</v>
      </c>
    </row>
    <row r="540" spans="1:5" x14ac:dyDescent="0.2">
      <c r="A540">
        <v>10004422</v>
      </c>
      <c r="B540">
        <v>21255400</v>
      </c>
      <c r="C540">
        <v>3</v>
      </c>
      <c r="D540" s="1" t="s">
        <v>317</v>
      </c>
      <c r="E540">
        <v>9</v>
      </c>
    </row>
    <row r="541" spans="1:5" x14ac:dyDescent="0.2">
      <c r="A541">
        <v>10004422</v>
      </c>
      <c r="B541">
        <v>21255400</v>
      </c>
      <c r="C541">
        <v>15</v>
      </c>
      <c r="D541" s="1" t="s">
        <v>342</v>
      </c>
      <c r="E541">
        <v>9</v>
      </c>
    </row>
    <row r="542" spans="1:5" x14ac:dyDescent="0.2">
      <c r="A542">
        <v>10004422</v>
      </c>
      <c r="B542">
        <v>21255400</v>
      </c>
      <c r="C542">
        <v>14</v>
      </c>
      <c r="D542" s="1" t="s">
        <v>320</v>
      </c>
      <c r="E542">
        <v>9</v>
      </c>
    </row>
    <row r="543" spans="1:5" x14ac:dyDescent="0.2">
      <c r="A543">
        <v>10004422</v>
      </c>
      <c r="B543">
        <v>21255400</v>
      </c>
      <c r="C543">
        <v>2</v>
      </c>
      <c r="D543" s="1" t="s">
        <v>487</v>
      </c>
      <c r="E543">
        <v>9</v>
      </c>
    </row>
    <row r="544" spans="1:5" x14ac:dyDescent="0.2">
      <c r="A544">
        <v>10004422</v>
      </c>
      <c r="B544">
        <v>21255400</v>
      </c>
      <c r="C544">
        <v>8</v>
      </c>
      <c r="D544" s="1" t="s">
        <v>296</v>
      </c>
      <c r="E544">
        <v>9</v>
      </c>
    </row>
    <row r="545" spans="1:5" x14ac:dyDescent="0.2">
      <c r="A545">
        <v>10004422</v>
      </c>
      <c r="B545">
        <v>21255400</v>
      </c>
      <c r="C545">
        <v>5</v>
      </c>
      <c r="D545" s="1" t="s">
        <v>393</v>
      </c>
      <c r="E545">
        <v>9</v>
      </c>
    </row>
    <row r="546" spans="1:5" x14ac:dyDescent="0.2">
      <c r="A546">
        <v>10004422</v>
      </c>
      <c r="B546">
        <v>21255400</v>
      </c>
      <c r="C546">
        <v>12</v>
      </c>
      <c r="D546" s="1" t="s">
        <v>596</v>
      </c>
      <c r="E546">
        <v>9</v>
      </c>
    </row>
    <row r="547" spans="1:5" x14ac:dyDescent="0.2">
      <c r="A547">
        <v>10004422</v>
      </c>
      <c r="B547">
        <v>21255400</v>
      </c>
      <c r="C547">
        <v>9</v>
      </c>
      <c r="D547" s="1" t="s">
        <v>359</v>
      </c>
      <c r="E547">
        <v>9</v>
      </c>
    </row>
    <row r="548" spans="1:5" x14ac:dyDescent="0.2">
      <c r="A548">
        <v>10004422</v>
      </c>
      <c r="B548">
        <v>21255400</v>
      </c>
      <c r="C548">
        <v>7</v>
      </c>
      <c r="D548" s="1" t="s">
        <v>259</v>
      </c>
      <c r="E548">
        <v>9</v>
      </c>
    </row>
    <row r="549" spans="1:5" x14ac:dyDescent="0.2">
      <c r="A549">
        <v>10004422</v>
      </c>
      <c r="B549">
        <v>21255400</v>
      </c>
      <c r="C549">
        <v>11</v>
      </c>
      <c r="D549" s="1" t="s">
        <v>597</v>
      </c>
      <c r="E549">
        <v>9</v>
      </c>
    </row>
    <row r="550" spans="1:5" x14ac:dyDescent="0.2">
      <c r="A550">
        <v>10004422</v>
      </c>
      <c r="B550">
        <v>21255400</v>
      </c>
      <c r="C550">
        <v>16</v>
      </c>
      <c r="D550" s="1" t="s">
        <v>598</v>
      </c>
      <c r="E550">
        <v>9</v>
      </c>
    </row>
    <row r="551" spans="1:5" x14ac:dyDescent="0.2">
      <c r="A551">
        <v>10004422</v>
      </c>
      <c r="B551">
        <v>21255400</v>
      </c>
      <c r="C551">
        <v>1</v>
      </c>
      <c r="D551" s="1" t="s">
        <v>253</v>
      </c>
      <c r="E551">
        <v>9</v>
      </c>
    </row>
    <row r="552" spans="1:5" x14ac:dyDescent="0.2">
      <c r="A552">
        <v>10020187</v>
      </c>
      <c r="B552">
        <v>24104168</v>
      </c>
      <c r="C552">
        <v>5</v>
      </c>
      <c r="D552" s="1" t="s">
        <v>435</v>
      </c>
      <c r="E552">
        <v>10</v>
      </c>
    </row>
    <row r="553" spans="1:5" x14ac:dyDescent="0.2">
      <c r="A553">
        <v>10020187</v>
      </c>
      <c r="B553">
        <v>24104168</v>
      </c>
      <c r="C553">
        <v>3</v>
      </c>
      <c r="D553" s="1" t="s">
        <v>329</v>
      </c>
      <c r="E553">
        <v>10</v>
      </c>
    </row>
    <row r="554" spans="1:5" x14ac:dyDescent="0.2">
      <c r="A554">
        <v>10020187</v>
      </c>
      <c r="B554">
        <v>24104168</v>
      </c>
      <c r="C554">
        <v>4</v>
      </c>
      <c r="D554" s="1" t="s">
        <v>335</v>
      </c>
      <c r="E554">
        <v>10</v>
      </c>
    </row>
    <row r="555" spans="1:5" x14ac:dyDescent="0.2">
      <c r="A555">
        <v>10020187</v>
      </c>
      <c r="B555">
        <v>24104168</v>
      </c>
      <c r="C555">
        <v>1</v>
      </c>
      <c r="D555" s="1" t="s">
        <v>599</v>
      </c>
      <c r="E555">
        <v>10</v>
      </c>
    </row>
    <row r="556" spans="1:5" x14ac:dyDescent="0.2">
      <c r="A556">
        <v>10020187</v>
      </c>
      <c r="B556">
        <v>24104168</v>
      </c>
      <c r="C556">
        <v>2</v>
      </c>
      <c r="D556" s="1" t="s">
        <v>379</v>
      </c>
      <c r="E556">
        <v>10</v>
      </c>
    </row>
    <row r="557" spans="1:5" x14ac:dyDescent="0.2">
      <c r="A557">
        <v>10007818</v>
      </c>
      <c r="B557">
        <v>22987108</v>
      </c>
      <c r="C557">
        <v>35</v>
      </c>
      <c r="D557" s="1" t="s">
        <v>600</v>
      </c>
      <c r="E557">
        <v>10</v>
      </c>
    </row>
    <row r="558" spans="1:5" x14ac:dyDescent="0.2">
      <c r="A558">
        <v>10007818</v>
      </c>
      <c r="B558">
        <v>22987108</v>
      </c>
      <c r="C558">
        <v>38</v>
      </c>
      <c r="D558" s="1" t="s">
        <v>601</v>
      </c>
      <c r="E558">
        <v>10</v>
      </c>
    </row>
    <row r="559" spans="1:5" x14ac:dyDescent="0.2">
      <c r="A559">
        <v>10007818</v>
      </c>
      <c r="B559">
        <v>22987108</v>
      </c>
      <c r="C559">
        <v>4</v>
      </c>
      <c r="D559" s="1" t="s">
        <v>602</v>
      </c>
      <c r="E559">
        <v>10</v>
      </c>
    </row>
    <row r="560" spans="1:5" x14ac:dyDescent="0.2">
      <c r="A560">
        <v>10007818</v>
      </c>
      <c r="B560">
        <v>22987108</v>
      </c>
      <c r="C560">
        <v>6</v>
      </c>
      <c r="D560" s="1" t="s">
        <v>603</v>
      </c>
      <c r="E560">
        <v>10</v>
      </c>
    </row>
    <row r="561" spans="1:5" x14ac:dyDescent="0.2">
      <c r="A561">
        <v>10007818</v>
      </c>
      <c r="B561">
        <v>22987108</v>
      </c>
      <c r="C561">
        <v>12</v>
      </c>
      <c r="D561" s="1" t="s">
        <v>604</v>
      </c>
      <c r="E561">
        <v>10</v>
      </c>
    </row>
    <row r="562" spans="1:5" x14ac:dyDescent="0.2">
      <c r="A562">
        <v>10007818</v>
      </c>
      <c r="B562">
        <v>22987108</v>
      </c>
      <c r="C562">
        <v>39</v>
      </c>
      <c r="D562" s="1" t="s">
        <v>605</v>
      </c>
      <c r="E562">
        <v>10</v>
      </c>
    </row>
    <row r="563" spans="1:5" x14ac:dyDescent="0.2">
      <c r="A563">
        <v>10007818</v>
      </c>
      <c r="B563">
        <v>22987108</v>
      </c>
      <c r="C563">
        <v>26</v>
      </c>
      <c r="D563" s="1" t="s">
        <v>606</v>
      </c>
      <c r="E563">
        <v>10</v>
      </c>
    </row>
    <row r="564" spans="1:5" x14ac:dyDescent="0.2">
      <c r="A564">
        <v>10007818</v>
      </c>
      <c r="B564">
        <v>22987108</v>
      </c>
      <c r="C564">
        <v>28</v>
      </c>
      <c r="D564" s="1" t="s">
        <v>607</v>
      </c>
      <c r="E564">
        <v>10</v>
      </c>
    </row>
    <row r="565" spans="1:5" x14ac:dyDescent="0.2">
      <c r="A565">
        <v>10007818</v>
      </c>
      <c r="B565">
        <v>22987108</v>
      </c>
      <c r="C565">
        <v>25</v>
      </c>
      <c r="D565" s="1" t="s">
        <v>422</v>
      </c>
      <c r="E565">
        <v>10</v>
      </c>
    </row>
    <row r="566" spans="1:5" x14ac:dyDescent="0.2">
      <c r="A566">
        <v>10007818</v>
      </c>
      <c r="B566">
        <v>22987108</v>
      </c>
      <c r="C566">
        <v>7</v>
      </c>
      <c r="D566" s="1" t="s">
        <v>608</v>
      </c>
      <c r="E566">
        <v>10</v>
      </c>
    </row>
    <row r="567" spans="1:5" x14ac:dyDescent="0.2">
      <c r="A567">
        <v>10007818</v>
      </c>
      <c r="B567">
        <v>22987108</v>
      </c>
      <c r="C567">
        <v>3</v>
      </c>
      <c r="D567" s="1" t="s">
        <v>609</v>
      </c>
      <c r="E567">
        <v>10</v>
      </c>
    </row>
    <row r="568" spans="1:5" x14ac:dyDescent="0.2">
      <c r="A568">
        <v>10007818</v>
      </c>
      <c r="B568">
        <v>22987108</v>
      </c>
      <c r="C568">
        <v>18</v>
      </c>
      <c r="D568" s="1" t="s">
        <v>334</v>
      </c>
      <c r="E568">
        <v>10</v>
      </c>
    </row>
    <row r="569" spans="1:5" x14ac:dyDescent="0.2">
      <c r="A569">
        <v>10007818</v>
      </c>
      <c r="B569">
        <v>22987108</v>
      </c>
      <c r="C569">
        <v>21</v>
      </c>
      <c r="D569" s="1" t="s">
        <v>429</v>
      </c>
      <c r="E569">
        <v>10</v>
      </c>
    </row>
    <row r="570" spans="1:5" x14ac:dyDescent="0.2">
      <c r="A570">
        <v>10007818</v>
      </c>
      <c r="B570">
        <v>22987108</v>
      </c>
      <c r="C570">
        <v>8</v>
      </c>
      <c r="D570" s="1" t="s">
        <v>559</v>
      </c>
      <c r="E570">
        <v>10</v>
      </c>
    </row>
    <row r="571" spans="1:5" x14ac:dyDescent="0.2">
      <c r="A571">
        <v>10007818</v>
      </c>
      <c r="B571">
        <v>22987108</v>
      </c>
      <c r="C571">
        <v>27</v>
      </c>
      <c r="D571" s="1" t="s">
        <v>610</v>
      </c>
      <c r="E571">
        <v>10</v>
      </c>
    </row>
    <row r="572" spans="1:5" x14ac:dyDescent="0.2">
      <c r="A572">
        <v>10007818</v>
      </c>
      <c r="B572">
        <v>22987108</v>
      </c>
      <c r="C572">
        <v>17</v>
      </c>
      <c r="D572" s="1" t="s">
        <v>611</v>
      </c>
      <c r="E572">
        <v>10</v>
      </c>
    </row>
    <row r="573" spans="1:5" x14ac:dyDescent="0.2">
      <c r="A573">
        <v>10007818</v>
      </c>
      <c r="B573">
        <v>22987108</v>
      </c>
      <c r="C573">
        <v>19</v>
      </c>
      <c r="D573" s="1" t="s">
        <v>612</v>
      </c>
      <c r="E573">
        <v>10</v>
      </c>
    </row>
    <row r="574" spans="1:5" x14ac:dyDescent="0.2">
      <c r="A574">
        <v>10007818</v>
      </c>
      <c r="B574">
        <v>22987108</v>
      </c>
      <c r="C574">
        <v>30</v>
      </c>
      <c r="D574" s="1" t="s">
        <v>613</v>
      </c>
      <c r="E574">
        <v>10</v>
      </c>
    </row>
    <row r="575" spans="1:5" x14ac:dyDescent="0.2">
      <c r="A575">
        <v>10007818</v>
      </c>
      <c r="B575">
        <v>22987108</v>
      </c>
      <c r="C575">
        <v>14</v>
      </c>
      <c r="D575" s="1" t="s">
        <v>614</v>
      </c>
      <c r="E575">
        <v>10</v>
      </c>
    </row>
    <row r="576" spans="1:5" x14ac:dyDescent="0.2">
      <c r="A576">
        <v>10007818</v>
      </c>
      <c r="B576">
        <v>22987108</v>
      </c>
      <c r="C576">
        <v>32</v>
      </c>
      <c r="D576" s="1" t="s">
        <v>477</v>
      </c>
      <c r="E576">
        <v>10</v>
      </c>
    </row>
    <row r="577" spans="1:5" x14ac:dyDescent="0.2">
      <c r="A577">
        <v>10007818</v>
      </c>
      <c r="B577">
        <v>22987108</v>
      </c>
      <c r="C577">
        <v>5</v>
      </c>
      <c r="D577" s="1" t="s">
        <v>423</v>
      </c>
      <c r="E577">
        <v>10</v>
      </c>
    </row>
    <row r="578" spans="1:5" x14ac:dyDescent="0.2">
      <c r="A578">
        <v>10007818</v>
      </c>
      <c r="B578">
        <v>22987108</v>
      </c>
      <c r="C578">
        <v>11</v>
      </c>
      <c r="D578" s="1" t="s">
        <v>615</v>
      </c>
      <c r="E578">
        <v>10</v>
      </c>
    </row>
    <row r="579" spans="1:5" x14ac:dyDescent="0.2">
      <c r="A579">
        <v>10007818</v>
      </c>
      <c r="B579">
        <v>22987108</v>
      </c>
      <c r="C579">
        <v>9</v>
      </c>
      <c r="D579" s="1" t="s">
        <v>616</v>
      </c>
      <c r="E579">
        <v>10</v>
      </c>
    </row>
    <row r="580" spans="1:5" x14ac:dyDescent="0.2">
      <c r="A580">
        <v>10007818</v>
      </c>
      <c r="B580">
        <v>22987108</v>
      </c>
      <c r="C580">
        <v>22</v>
      </c>
      <c r="D580" s="1" t="s">
        <v>617</v>
      </c>
      <c r="E580">
        <v>10</v>
      </c>
    </row>
    <row r="581" spans="1:5" x14ac:dyDescent="0.2">
      <c r="A581">
        <v>10007818</v>
      </c>
      <c r="B581">
        <v>22987108</v>
      </c>
      <c r="C581">
        <v>33</v>
      </c>
      <c r="D581" s="1" t="s">
        <v>328</v>
      </c>
      <c r="E581">
        <v>10</v>
      </c>
    </row>
    <row r="582" spans="1:5" x14ac:dyDescent="0.2">
      <c r="A582">
        <v>10007818</v>
      </c>
      <c r="B582">
        <v>22987108</v>
      </c>
      <c r="C582">
        <v>36</v>
      </c>
      <c r="D582" s="1" t="s">
        <v>324</v>
      </c>
      <c r="E582">
        <v>10</v>
      </c>
    </row>
    <row r="583" spans="1:5" x14ac:dyDescent="0.2">
      <c r="A583">
        <v>10007818</v>
      </c>
      <c r="B583">
        <v>22987108</v>
      </c>
      <c r="C583">
        <v>2</v>
      </c>
      <c r="D583" s="1" t="s">
        <v>618</v>
      </c>
      <c r="E583">
        <v>10</v>
      </c>
    </row>
    <row r="584" spans="1:5" x14ac:dyDescent="0.2">
      <c r="A584">
        <v>10007818</v>
      </c>
      <c r="B584">
        <v>22987108</v>
      </c>
      <c r="C584">
        <v>31</v>
      </c>
      <c r="D584" s="1" t="s">
        <v>619</v>
      </c>
      <c r="E584">
        <v>10</v>
      </c>
    </row>
    <row r="585" spans="1:5" x14ac:dyDescent="0.2">
      <c r="A585">
        <v>10007818</v>
      </c>
      <c r="B585">
        <v>22987108</v>
      </c>
      <c r="C585">
        <v>34</v>
      </c>
      <c r="D585" s="1" t="s">
        <v>620</v>
      </c>
      <c r="E585">
        <v>10</v>
      </c>
    </row>
    <row r="586" spans="1:5" x14ac:dyDescent="0.2">
      <c r="A586">
        <v>10007818</v>
      </c>
      <c r="B586">
        <v>22987108</v>
      </c>
      <c r="C586">
        <v>29</v>
      </c>
      <c r="D586" s="1" t="s">
        <v>621</v>
      </c>
      <c r="E586">
        <v>10</v>
      </c>
    </row>
    <row r="587" spans="1:5" x14ac:dyDescent="0.2">
      <c r="A587">
        <v>10007818</v>
      </c>
      <c r="B587">
        <v>22987108</v>
      </c>
      <c r="C587">
        <v>1</v>
      </c>
      <c r="D587" s="1" t="s">
        <v>622</v>
      </c>
      <c r="E587">
        <v>10</v>
      </c>
    </row>
    <row r="588" spans="1:5" x14ac:dyDescent="0.2">
      <c r="A588">
        <v>10007818</v>
      </c>
      <c r="B588">
        <v>22987108</v>
      </c>
      <c r="C588">
        <v>15</v>
      </c>
      <c r="D588" s="1" t="s">
        <v>623</v>
      </c>
      <c r="E588">
        <v>10</v>
      </c>
    </row>
    <row r="589" spans="1:5" x14ac:dyDescent="0.2">
      <c r="A589">
        <v>10007818</v>
      </c>
      <c r="B589">
        <v>22987108</v>
      </c>
      <c r="C589">
        <v>16</v>
      </c>
      <c r="D589" s="1" t="s">
        <v>624</v>
      </c>
      <c r="E589">
        <v>10</v>
      </c>
    </row>
    <row r="590" spans="1:5" x14ac:dyDescent="0.2">
      <c r="A590">
        <v>10007818</v>
      </c>
      <c r="B590">
        <v>22987108</v>
      </c>
      <c r="C590">
        <v>24</v>
      </c>
      <c r="D590" s="1" t="s">
        <v>625</v>
      </c>
      <c r="E590">
        <v>10</v>
      </c>
    </row>
    <row r="591" spans="1:5" x14ac:dyDescent="0.2">
      <c r="A591">
        <v>10007818</v>
      </c>
      <c r="B591">
        <v>22987108</v>
      </c>
      <c r="C591">
        <v>20</v>
      </c>
      <c r="D591" s="1" t="s">
        <v>626</v>
      </c>
      <c r="E591">
        <v>10</v>
      </c>
    </row>
    <row r="592" spans="1:5" x14ac:dyDescent="0.2">
      <c r="A592">
        <v>10007818</v>
      </c>
      <c r="B592">
        <v>22987108</v>
      </c>
      <c r="C592">
        <v>13</v>
      </c>
      <c r="D592" s="1" t="s">
        <v>627</v>
      </c>
      <c r="E592">
        <v>10</v>
      </c>
    </row>
    <row r="593" spans="1:5" x14ac:dyDescent="0.2">
      <c r="A593">
        <v>10007818</v>
      </c>
      <c r="B593">
        <v>22987108</v>
      </c>
      <c r="C593">
        <v>23</v>
      </c>
      <c r="D593" s="1" t="s">
        <v>628</v>
      </c>
      <c r="E593">
        <v>10</v>
      </c>
    </row>
    <row r="594" spans="1:5" x14ac:dyDescent="0.2">
      <c r="A594">
        <v>10007818</v>
      </c>
      <c r="B594">
        <v>22987108</v>
      </c>
      <c r="C594">
        <v>37</v>
      </c>
      <c r="D594" s="1" t="s">
        <v>629</v>
      </c>
      <c r="E594">
        <v>10</v>
      </c>
    </row>
    <row r="595" spans="1:5" x14ac:dyDescent="0.2">
      <c r="A595">
        <v>10007818</v>
      </c>
      <c r="B595">
        <v>22987108</v>
      </c>
      <c r="C595">
        <v>10</v>
      </c>
      <c r="D595" s="1" t="s">
        <v>630</v>
      </c>
      <c r="E595">
        <v>10</v>
      </c>
    </row>
    <row r="596" spans="1:5" x14ac:dyDescent="0.2">
      <c r="A596">
        <v>10004235</v>
      </c>
      <c r="B596">
        <v>25970245</v>
      </c>
      <c r="C596">
        <v>5</v>
      </c>
      <c r="D596" s="1" t="s">
        <v>631</v>
      </c>
      <c r="E596">
        <v>9</v>
      </c>
    </row>
    <row r="597" spans="1:5" x14ac:dyDescent="0.2">
      <c r="A597">
        <v>10004235</v>
      </c>
      <c r="B597">
        <v>25970245</v>
      </c>
      <c r="C597">
        <v>10</v>
      </c>
      <c r="D597" s="1" t="s">
        <v>632</v>
      </c>
      <c r="E597">
        <v>9</v>
      </c>
    </row>
    <row r="598" spans="1:5" x14ac:dyDescent="0.2">
      <c r="A598">
        <v>10004235</v>
      </c>
      <c r="B598">
        <v>25970245</v>
      </c>
      <c r="C598">
        <v>7</v>
      </c>
      <c r="D598" s="1" t="s">
        <v>633</v>
      </c>
      <c r="E598">
        <v>9</v>
      </c>
    </row>
    <row r="599" spans="1:5" x14ac:dyDescent="0.2">
      <c r="A599">
        <v>10004235</v>
      </c>
      <c r="B599">
        <v>25970245</v>
      </c>
      <c r="C599">
        <v>3</v>
      </c>
      <c r="D599" s="1" t="s">
        <v>261</v>
      </c>
      <c r="E599">
        <v>9</v>
      </c>
    </row>
    <row r="600" spans="1:5" x14ac:dyDescent="0.2">
      <c r="A600">
        <v>10004235</v>
      </c>
      <c r="B600">
        <v>25970245</v>
      </c>
      <c r="C600">
        <v>6</v>
      </c>
      <c r="D600" s="1" t="s">
        <v>295</v>
      </c>
      <c r="E600">
        <v>9</v>
      </c>
    </row>
    <row r="601" spans="1:5" x14ac:dyDescent="0.2">
      <c r="A601">
        <v>10004235</v>
      </c>
      <c r="B601">
        <v>25970245</v>
      </c>
      <c r="C601">
        <v>1</v>
      </c>
      <c r="D601" s="1" t="s">
        <v>634</v>
      </c>
      <c r="E601">
        <v>9</v>
      </c>
    </row>
    <row r="602" spans="1:5" x14ac:dyDescent="0.2">
      <c r="A602">
        <v>10004235</v>
      </c>
      <c r="B602">
        <v>25970245</v>
      </c>
      <c r="C602">
        <v>8</v>
      </c>
      <c r="D602" s="1" t="s">
        <v>296</v>
      </c>
      <c r="E602">
        <v>9</v>
      </c>
    </row>
    <row r="603" spans="1:5" x14ac:dyDescent="0.2">
      <c r="A603">
        <v>10004235</v>
      </c>
      <c r="B603">
        <v>25970245</v>
      </c>
      <c r="C603">
        <v>4</v>
      </c>
      <c r="D603" s="1" t="s">
        <v>320</v>
      </c>
      <c r="E603">
        <v>9</v>
      </c>
    </row>
    <row r="604" spans="1:5" x14ac:dyDescent="0.2">
      <c r="A604">
        <v>10004235</v>
      </c>
      <c r="B604">
        <v>25970245</v>
      </c>
      <c r="C604">
        <v>2</v>
      </c>
      <c r="D604" s="1" t="s">
        <v>635</v>
      </c>
      <c r="E604">
        <v>9</v>
      </c>
    </row>
    <row r="605" spans="1:5" x14ac:dyDescent="0.2">
      <c r="A605">
        <v>10004235</v>
      </c>
      <c r="B605">
        <v>25970245</v>
      </c>
      <c r="C605">
        <v>9</v>
      </c>
      <c r="D605" s="1" t="s">
        <v>418</v>
      </c>
      <c r="E605">
        <v>9</v>
      </c>
    </row>
    <row r="606" spans="1:5" x14ac:dyDescent="0.2">
      <c r="A606">
        <v>10004235</v>
      </c>
      <c r="B606">
        <v>24181354</v>
      </c>
      <c r="C606">
        <v>15</v>
      </c>
      <c r="D606" s="1" t="s">
        <v>320</v>
      </c>
      <c r="E606">
        <v>9</v>
      </c>
    </row>
    <row r="607" spans="1:5" x14ac:dyDescent="0.2">
      <c r="A607">
        <v>10004235</v>
      </c>
      <c r="B607">
        <v>24181354</v>
      </c>
      <c r="C607">
        <v>5</v>
      </c>
      <c r="D607" s="1" t="s">
        <v>516</v>
      </c>
      <c r="E607">
        <v>9</v>
      </c>
    </row>
    <row r="608" spans="1:5" x14ac:dyDescent="0.2">
      <c r="A608">
        <v>10004235</v>
      </c>
      <c r="B608">
        <v>24181354</v>
      </c>
      <c r="C608">
        <v>12</v>
      </c>
      <c r="D608" s="1" t="s">
        <v>636</v>
      </c>
      <c r="E608">
        <v>9</v>
      </c>
    </row>
    <row r="609" spans="1:5" x14ac:dyDescent="0.2">
      <c r="A609">
        <v>10004235</v>
      </c>
      <c r="B609">
        <v>24181354</v>
      </c>
      <c r="C609">
        <v>13</v>
      </c>
      <c r="D609" s="1" t="s">
        <v>412</v>
      </c>
      <c r="E609">
        <v>9</v>
      </c>
    </row>
    <row r="610" spans="1:5" x14ac:dyDescent="0.2">
      <c r="A610">
        <v>10004235</v>
      </c>
      <c r="B610">
        <v>24181354</v>
      </c>
      <c r="C610">
        <v>21</v>
      </c>
      <c r="D610" s="1" t="s">
        <v>295</v>
      </c>
      <c r="E610">
        <v>9</v>
      </c>
    </row>
    <row r="611" spans="1:5" x14ac:dyDescent="0.2">
      <c r="A611">
        <v>10004235</v>
      </c>
      <c r="B611">
        <v>24181354</v>
      </c>
      <c r="C611">
        <v>25</v>
      </c>
      <c r="D611" s="1" t="s">
        <v>272</v>
      </c>
      <c r="E611">
        <v>9</v>
      </c>
    </row>
    <row r="612" spans="1:5" x14ac:dyDescent="0.2">
      <c r="A612">
        <v>10004235</v>
      </c>
      <c r="B612">
        <v>24181354</v>
      </c>
      <c r="C612">
        <v>4</v>
      </c>
      <c r="D612" s="1" t="s">
        <v>637</v>
      </c>
      <c r="E612">
        <v>9</v>
      </c>
    </row>
    <row r="613" spans="1:5" x14ac:dyDescent="0.2">
      <c r="A613">
        <v>10004235</v>
      </c>
      <c r="B613">
        <v>24181354</v>
      </c>
      <c r="C613">
        <v>10</v>
      </c>
      <c r="D613" s="1" t="s">
        <v>638</v>
      </c>
      <c r="E613">
        <v>9</v>
      </c>
    </row>
    <row r="614" spans="1:5" x14ac:dyDescent="0.2">
      <c r="A614">
        <v>10004235</v>
      </c>
      <c r="B614">
        <v>24181354</v>
      </c>
      <c r="C614">
        <v>6</v>
      </c>
      <c r="D614" s="1" t="s">
        <v>404</v>
      </c>
      <c r="E614">
        <v>9</v>
      </c>
    </row>
    <row r="615" spans="1:5" x14ac:dyDescent="0.2">
      <c r="A615">
        <v>10004235</v>
      </c>
      <c r="B615">
        <v>24181354</v>
      </c>
      <c r="C615">
        <v>26</v>
      </c>
      <c r="D615" s="1" t="s">
        <v>639</v>
      </c>
      <c r="E615">
        <v>9</v>
      </c>
    </row>
    <row r="616" spans="1:5" x14ac:dyDescent="0.2">
      <c r="A616">
        <v>10004235</v>
      </c>
      <c r="B616">
        <v>24181354</v>
      </c>
      <c r="C616">
        <v>8</v>
      </c>
      <c r="D616" s="1" t="s">
        <v>640</v>
      </c>
      <c r="E616">
        <v>9</v>
      </c>
    </row>
    <row r="617" spans="1:5" x14ac:dyDescent="0.2">
      <c r="A617">
        <v>10004235</v>
      </c>
      <c r="B617">
        <v>24181354</v>
      </c>
      <c r="C617">
        <v>19</v>
      </c>
      <c r="D617" s="1" t="s">
        <v>641</v>
      </c>
      <c r="E617">
        <v>9</v>
      </c>
    </row>
    <row r="618" spans="1:5" x14ac:dyDescent="0.2">
      <c r="A618">
        <v>10004235</v>
      </c>
      <c r="B618">
        <v>24181354</v>
      </c>
      <c r="C618">
        <v>16</v>
      </c>
      <c r="D618" s="1" t="s">
        <v>642</v>
      </c>
      <c r="E618">
        <v>9</v>
      </c>
    </row>
    <row r="619" spans="1:5" x14ac:dyDescent="0.2">
      <c r="A619">
        <v>10004235</v>
      </c>
      <c r="B619">
        <v>24181354</v>
      </c>
      <c r="C619">
        <v>1</v>
      </c>
      <c r="D619" s="1" t="s">
        <v>643</v>
      </c>
      <c r="E619">
        <v>9</v>
      </c>
    </row>
    <row r="620" spans="1:5" x14ac:dyDescent="0.2">
      <c r="A620">
        <v>10004235</v>
      </c>
      <c r="B620">
        <v>24181354</v>
      </c>
      <c r="C620">
        <v>9</v>
      </c>
      <c r="D620" s="1" t="s">
        <v>644</v>
      </c>
      <c r="E620">
        <v>9</v>
      </c>
    </row>
    <row r="621" spans="1:5" x14ac:dyDescent="0.2">
      <c r="A621">
        <v>10004235</v>
      </c>
      <c r="B621">
        <v>24181354</v>
      </c>
      <c r="C621">
        <v>18</v>
      </c>
      <c r="D621" s="1" t="s">
        <v>645</v>
      </c>
      <c r="E621">
        <v>9</v>
      </c>
    </row>
    <row r="622" spans="1:5" x14ac:dyDescent="0.2">
      <c r="A622">
        <v>10004235</v>
      </c>
      <c r="B622">
        <v>24181354</v>
      </c>
      <c r="C622">
        <v>23</v>
      </c>
      <c r="D622" s="1" t="s">
        <v>416</v>
      </c>
      <c r="E622">
        <v>9</v>
      </c>
    </row>
    <row r="623" spans="1:5" x14ac:dyDescent="0.2">
      <c r="A623">
        <v>10004235</v>
      </c>
      <c r="B623">
        <v>24181354</v>
      </c>
      <c r="C623">
        <v>17</v>
      </c>
      <c r="D623" s="1" t="s">
        <v>646</v>
      </c>
      <c r="E623">
        <v>9</v>
      </c>
    </row>
    <row r="624" spans="1:5" x14ac:dyDescent="0.2">
      <c r="A624">
        <v>10004235</v>
      </c>
      <c r="B624">
        <v>24181354</v>
      </c>
      <c r="C624">
        <v>7</v>
      </c>
      <c r="D624" s="1" t="s">
        <v>389</v>
      </c>
      <c r="E624">
        <v>9</v>
      </c>
    </row>
    <row r="625" spans="1:5" x14ac:dyDescent="0.2">
      <c r="A625">
        <v>10004235</v>
      </c>
      <c r="B625">
        <v>24181354</v>
      </c>
      <c r="C625">
        <v>3</v>
      </c>
      <c r="D625" s="1" t="s">
        <v>454</v>
      </c>
      <c r="E625">
        <v>9</v>
      </c>
    </row>
    <row r="626" spans="1:5" x14ac:dyDescent="0.2">
      <c r="A626">
        <v>10004235</v>
      </c>
      <c r="B626">
        <v>24181354</v>
      </c>
      <c r="C626">
        <v>2</v>
      </c>
      <c r="D626" s="1" t="s">
        <v>647</v>
      </c>
      <c r="E626">
        <v>9</v>
      </c>
    </row>
    <row r="627" spans="1:5" x14ac:dyDescent="0.2">
      <c r="A627">
        <v>10004235</v>
      </c>
      <c r="B627">
        <v>24181354</v>
      </c>
      <c r="C627">
        <v>20</v>
      </c>
      <c r="D627" s="1" t="s">
        <v>648</v>
      </c>
      <c r="E627">
        <v>9</v>
      </c>
    </row>
    <row r="628" spans="1:5" x14ac:dyDescent="0.2">
      <c r="A628">
        <v>10004235</v>
      </c>
      <c r="B628">
        <v>24181354</v>
      </c>
      <c r="C628">
        <v>14</v>
      </c>
      <c r="D628" s="1" t="s">
        <v>263</v>
      </c>
      <c r="E628">
        <v>9</v>
      </c>
    </row>
    <row r="629" spans="1:5" x14ac:dyDescent="0.2">
      <c r="A629">
        <v>10004235</v>
      </c>
      <c r="B629">
        <v>24181354</v>
      </c>
      <c r="C629">
        <v>22</v>
      </c>
      <c r="D629" s="1" t="s">
        <v>649</v>
      </c>
      <c r="E629">
        <v>9</v>
      </c>
    </row>
    <row r="630" spans="1:5" x14ac:dyDescent="0.2">
      <c r="A630">
        <v>10004235</v>
      </c>
      <c r="B630">
        <v>24181354</v>
      </c>
      <c r="C630">
        <v>24</v>
      </c>
      <c r="D630" s="1" t="s">
        <v>413</v>
      </c>
      <c r="E630">
        <v>9</v>
      </c>
    </row>
    <row r="631" spans="1:5" x14ac:dyDescent="0.2">
      <c r="A631">
        <v>10004235</v>
      </c>
      <c r="B631">
        <v>24181354</v>
      </c>
      <c r="C631">
        <v>11</v>
      </c>
      <c r="D631" s="1" t="s">
        <v>410</v>
      </c>
      <c r="E631">
        <v>9</v>
      </c>
    </row>
    <row r="632" spans="1:5" x14ac:dyDescent="0.2">
      <c r="A632">
        <v>10004235</v>
      </c>
      <c r="B632">
        <v>22187210</v>
      </c>
      <c r="C632">
        <v>3</v>
      </c>
      <c r="D632" s="1" t="s">
        <v>638</v>
      </c>
      <c r="E632">
        <v>9</v>
      </c>
    </row>
    <row r="633" spans="1:5" x14ac:dyDescent="0.2">
      <c r="A633">
        <v>10004235</v>
      </c>
      <c r="B633">
        <v>22187210</v>
      </c>
      <c r="C633">
        <v>6</v>
      </c>
      <c r="D633" s="1" t="s">
        <v>320</v>
      </c>
      <c r="E633">
        <v>9</v>
      </c>
    </row>
    <row r="634" spans="1:5" x14ac:dyDescent="0.2">
      <c r="A634">
        <v>10004235</v>
      </c>
      <c r="B634">
        <v>22187210</v>
      </c>
      <c r="C634">
        <v>5</v>
      </c>
      <c r="D634" s="1" t="s">
        <v>418</v>
      </c>
      <c r="E634">
        <v>9</v>
      </c>
    </row>
    <row r="635" spans="1:5" x14ac:dyDescent="0.2">
      <c r="A635">
        <v>10004235</v>
      </c>
      <c r="B635">
        <v>22187210</v>
      </c>
      <c r="C635">
        <v>2</v>
      </c>
      <c r="D635" s="1" t="s">
        <v>641</v>
      </c>
      <c r="E635">
        <v>9</v>
      </c>
    </row>
    <row r="636" spans="1:5" x14ac:dyDescent="0.2">
      <c r="A636">
        <v>10004235</v>
      </c>
      <c r="B636">
        <v>22187210</v>
      </c>
      <c r="C636">
        <v>1</v>
      </c>
      <c r="D636" s="1" t="s">
        <v>531</v>
      </c>
      <c r="E636">
        <v>9</v>
      </c>
    </row>
    <row r="637" spans="1:5" x14ac:dyDescent="0.2">
      <c r="A637">
        <v>10004235</v>
      </c>
      <c r="B637">
        <v>22187210</v>
      </c>
      <c r="C637">
        <v>4</v>
      </c>
      <c r="D637" s="1" t="s">
        <v>296</v>
      </c>
      <c r="E637">
        <v>9</v>
      </c>
    </row>
    <row r="638" spans="1:5" x14ac:dyDescent="0.2">
      <c r="A638">
        <v>10026255</v>
      </c>
      <c r="B638">
        <v>22059910</v>
      </c>
      <c r="C638">
        <v>10</v>
      </c>
      <c r="D638" s="1" t="s">
        <v>650</v>
      </c>
      <c r="E638">
        <v>9</v>
      </c>
    </row>
    <row r="639" spans="1:5" x14ac:dyDescent="0.2">
      <c r="A639">
        <v>10026255</v>
      </c>
      <c r="B639">
        <v>22059910</v>
      </c>
      <c r="C639">
        <v>14</v>
      </c>
      <c r="D639" s="1" t="s">
        <v>651</v>
      </c>
      <c r="E639">
        <v>9</v>
      </c>
    </row>
    <row r="640" spans="1:5" x14ac:dyDescent="0.2">
      <c r="A640">
        <v>10026255</v>
      </c>
      <c r="B640">
        <v>22059910</v>
      </c>
      <c r="C640">
        <v>7</v>
      </c>
      <c r="D640" s="1" t="s">
        <v>652</v>
      </c>
      <c r="E640">
        <v>9</v>
      </c>
    </row>
    <row r="641" spans="1:5" x14ac:dyDescent="0.2">
      <c r="A641">
        <v>10026255</v>
      </c>
      <c r="B641">
        <v>22059910</v>
      </c>
      <c r="C641">
        <v>15</v>
      </c>
      <c r="D641" s="1" t="s">
        <v>653</v>
      </c>
      <c r="E641">
        <v>9</v>
      </c>
    </row>
    <row r="642" spans="1:5" x14ac:dyDescent="0.2">
      <c r="A642">
        <v>10026255</v>
      </c>
      <c r="B642">
        <v>22059910</v>
      </c>
      <c r="C642">
        <v>17</v>
      </c>
      <c r="D642" s="1" t="s">
        <v>308</v>
      </c>
      <c r="E642">
        <v>9</v>
      </c>
    </row>
    <row r="643" spans="1:5" x14ac:dyDescent="0.2">
      <c r="A643">
        <v>10026255</v>
      </c>
      <c r="B643">
        <v>22059910</v>
      </c>
      <c r="C643">
        <v>13</v>
      </c>
      <c r="D643" s="1" t="s">
        <v>515</v>
      </c>
      <c r="E643">
        <v>9</v>
      </c>
    </row>
    <row r="644" spans="1:5" x14ac:dyDescent="0.2">
      <c r="A644">
        <v>10026255</v>
      </c>
      <c r="B644">
        <v>22059910</v>
      </c>
      <c r="C644">
        <v>19</v>
      </c>
      <c r="D644" s="1" t="s">
        <v>654</v>
      </c>
      <c r="E644">
        <v>9</v>
      </c>
    </row>
    <row r="645" spans="1:5" x14ac:dyDescent="0.2">
      <c r="A645">
        <v>10026255</v>
      </c>
      <c r="B645">
        <v>22059910</v>
      </c>
      <c r="C645">
        <v>18</v>
      </c>
      <c r="D645" s="1" t="s">
        <v>655</v>
      </c>
      <c r="E645">
        <v>9</v>
      </c>
    </row>
    <row r="646" spans="1:5" x14ac:dyDescent="0.2">
      <c r="A646">
        <v>10026255</v>
      </c>
      <c r="B646">
        <v>22059910</v>
      </c>
      <c r="C646">
        <v>3</v>
      </c>
      <c r="D646" s="1" t="s">
        <v>516</v>
      </c>
      <c r="E646">
        <v>9</v>
      </c>
    </row>
    <row r="647" spans="1:5" x14ac:dyDescent="0.2">
      <c r="A647">
        <v>10026255</v>
      </c>
      <c r="B647">
        <v>22059910</v>
      </c>
      <c r="C647">
        <v>6</v>
      </c>
      <c r="D647" s="1" t="s">
        <v>656</v>
      </c>
      <c r="E647">
        <v>9</v>
      </c>
    </row>
    <row r="648" spans="1:5" x14ac:dyDescent="0.2">
      <c r="A648">
        <v>10026255</v>
      </c>
      <c r="B648">
        <v>22059910</v>
      </c>
      <c r="C648">
        <v>12</v>
      </c>
      <c r="D648" s="1" t="s">
        <v>657</v>
      </c>
      <c r="E648">
        <v>9</v>
      </c>
    </row>
    <row r="649" spans="1:5" x14ac:dyDescent="0.2">
      <c r="A649">
        <v>10026255</v>
      </c>
      <c r="B649">
        <v>22059910</v>
      </c>
      <c r="C649">
        <v>11</v>
      </c>
      <c r="D649" s="1" t="s">
        <v>658</v>
      </c>
      <c r="E649">
        <v>9</v>
      </c>
    </row>
    <row r="650" spans="1:5" x14ac:dyDescent="0.2">
      <c r="A650">
        <v>10026255</v>
      </c>
      <c r="B650">
        <v>22059910</v>
      </c>
      <c r="C650">
        <v>5</v>
      </c>
      <c r="D650" s="1" t="s">
        <v>410</v>
      </c>
      <c r="E650">
        <v>9</v>
      </c>
    </row>
    <row r="651" spans="1:5" x14ac:dyDescent="0.2">
      <c r="A651">
        <v>10026255</v>
      </c>
      <c r="B651">
        <v>22059910</v>
      </c>
      <c r="C651">
        <v>2</v>
      </c>
      <c r="D651" s="1" t="s">
        <v>659</v>
      </c>
      <c r="E651">
        <v>9</v>
      </c>
    </row>
    <row r="652" spans="1:5" x14ac:dyDescent="0.2">
      <c r="A652">
        <v>10026255</v>
      </c>
      <c r="B652">
        <v>22059910</v>
      </c>
      <c r="C652">
        <v>22</v>
      </c>
      <c r="D652" s="1" t="s">
        <v>259</v>
      </c>
      <c r="E652">
        <v>9</v>
      </c>
    </row>
    <row r="653" spans="1:5" x14ac:dyDescent="0.2">
      <c r="A653">
        <v>10026255</v>
      </c>
      <c r="B653">
        <v>22059910</v>
      </c>
      <c r="C653">
        <v>21</v>
      </c>
      <c r="D653" s="1" t="s">
        <v>296</v>
      </c>
      <c r="E653">
        <v>9</v>
      </c>
    </row>
    <row r="654" spans="1:5" x14ac:dyDescent="0.2">
      <c r="A654">
        <v>10026255</v>
      </c>
      <c r="B654">
        <v>22059910</v>
      </c>
      <c r="C654">
        <v>9</v>
      </c>
      <c r="D654" s="1" t="s">
        <v>660</v>
      </c>
      <c r="E654">
        <v>9</v>
      </c>
    </row>
    <row r="655" spans="1:5" x14ac:dyDescent="0.2">
      <c r="A655">
        <v>10026255</v>
      </c>
      <c r="B655">
        <v>22059910</v>
      </c>
      <c r="C655">
        <v>20</v>
      </c>
      <c r="D655" s="1" t="s">
        <v>538</v>
      </c>
      <c r="E655">
        <v>9</v>
      </c>
    </row>
    <row r="656" spans="1:5" x14ac:dyDescent="0.2">
      <c r="A656">
        <v>10026255</v>
      </c>
      <c r="B656">
        <v>22059910</v>
      </c>
      <c r="C656">
        <v>8</v>
      </c>
      <c r="D656" s="1" t="s">
        <v>661</v>
      </c>
      <c r="E656">
        <v>9</v>
      </c>
    </row>
    <row r="657" spans="1:5" x14ac:dyDescent="0.2">
      <c r="A657">
        <v>10026255</v>
      </c>
      <c r="B657">
        <v>22059910</v>
      </c>
      <c r="C657">
        <v>1</v>
      </c>
      <c r="D657" s="1" t="s">
        <v>662</v>
      </c>
      <c r="E657">
        <v>9</v>
      </c>
    </row>
    <row r="658" spans="1:5" x14ac:dyDescent="0.2">
      <c r="A658">
        <v>10026255</v>
      </c>
      <c r="B658">
        <v>22059910</v>
      </c>
      <c r="C658">
        <v>16</v>
      </c>
      <c r="D658" s="1" t="s">
        <v>320</v>
      </c>
      <c r="E658">
        <v>9</v>
      </c>
    </row>
    <row r="659" spans="1:5" x14ac:dyDescent="0.2">
      <c r="A659">
        <v>10026255</v>
      </c>
      <c r="B659">
        <v>22059910</v>
      </c>
      <c r="C659">
        <v>4</v>
      </c>
      <c r="D659" s="1" t="s">
        <v>663</v>
      </c>
      <c r="E659">
        <v>9</v>
      </c>
    </row>
    <row r="660" spans="1:5" x14ac:dyDescent="0.2">
      <c r="A660">
        <v>10026255</v>
      </c>
      <c r="B660">
        <v>20437651</v>
      </c>
      <c r="C660">
        <v>2</v>
      </c>
      <c r="D660" s="1" t="s">
        <v>404</v>
      </c>
      <c r="E660">
        <v>9</v>
      </c>
    </row>
    <row r="661" spans="1:5" x14ac:dyDescent="0.2">
      <c r="A661">
        <v>10026255</v>
      </c>
      <c r="B661">
        <v>20437651</v>
      </c>
      <c r="C661">
        <v>9</v>
      </c>
      <c r="D661" s="1" t="s">
        <v>308</v>
      </c>
      <c r="E661">
        <v>9</v>
      </c>
    </row>
    <row r="662" spans="1:5" x14ac:dyDescent="0.2">
      <c r="A662">
        <v>10026255</v>
      </c>
      <c r="B662">
        <v>20437651</v>
      </c>
      <c r="C662">
        <v>8</v>
      </c>
      <c r="D662" s="1" t="s">
        <v>259</v>
      </c>
      <c r="E662">
        <v>9</v>
      </c>
    </row>
    <row r="663" spans="1:5" x14ac:dyDescent="0.2">
      <c r="A663">
        <v>10026255</v>
      </c>
      <c r="B663">
        <v>20437651</v>
      </c>
      <c r="C663">
        <v>6</v>
      </c>
      <c r="D663" s="1" t="s">
        <v>664</v>
      </c>
      <c r="E663">
        <v>9</v>
      </c>
    </row>
    <row r="664" spans="1:5" x14ac:dyDescent="0.2">
      <c r="A664">
        <v>10026255</v>
      </c>
      <c r="B664">
        <v>20437651</v>
      </c>
      <c r="C664">
        <v>1</v>
      </c>
      <c r="D664" s="1" t="s">
        <v>367</v>
      </c>
      <c r="E664">
        <v>9</v>
      </c>
    </row>
    <row r="665" spans="1:5" x14ac:dyDescent="0.2">
      <c r="A665">
        <v>10026255</v>
      </c>
      <c r="B665">
        <v>20437651</v>
      </c>
      <c r="C665">
        <v>10</v>
      </c>
      <c r="D665" s="1" t="s">
        <v>665</v>
      </c>
      <c r="E665">
        <v>9</v>
      </c>
    </row>
    <row r="666" spans="1:5" x14ac:dyDescent="0.2">
      <c r="A666">
        <v>10026255</v>
      </c>
      <c r="B666">
        <v>20437651</v>
      </c>
      <c r="C666">
        <v>4</v>
      </c>
      <c r="D666" s="1" t="s">
        <v>307</v>
      </c>
      <c r="E666">
        <v>9</v>
      </c>
    </row>
    <row r="667" spans="1:5" x14ac:dyDescent="0.2">
      <c r="A667">
        <v>10026255</v>
      </c>
      <c r="B667">
        <v>20437651</v>
      </c>
      <c r="C667">
        <v>11</v>
      </c>
      <c r="D667" s="1" t="s">
        <v>666</v>
      </c>
      <c r="E667">
        <v>9</v>
      </c>
    </row>
    <row r="668" spans="1:5" x14ac:dyDescent="0.2">
      <c r="A668">
        <v>10026255</v>
      </c>
      <c r="B668">
        <v>20437651</v>
      </c>
      <c r="C668">
        <v>7</v>
      </c>
      <c r="D668" s="1" t="s">
        <v>296</v>
      </c>
      <c r="E668">
        <v>9</v>
      </c>
    </row>
    <row r="669" spans="1:5" x14ac:dyDescent="0.2">
      <c r="A669">
        <v>10026255</v>
      </c>
      <c r="B669">
        <v>20437651</v>
      </c>
      <c r="C669">
        <v>13</v>
      </c>
      <c r="D669" s="1" t="s">
        <v>320</v>
      </c>
      <c r="E669">
        <v>9</v>
      </c>
    </row>
    <row r="670" spans="1:5" x14ac:dyDescent="0.2">
      <c r="A670">
        <v>10026255</v>
      </c>
      <c r="B670">
        <v>20437651</v>
      </c>
      <c r="C670">
        <v>3</v>
      </c>
      <c r="D670" s="1" t="s">
        <v>667</v>
      </c>
      <c r="E670">
        <v>9</v>
      </c>
    </row>
    <row r="671" spans="1:5" x14ac:dyDescent="0.2">
      <c r="A671">
        <v>10026255</v>
      </c>
      <c r="B671">
        <v>20437651</v>
      </c>
      <c r="C671">
        <v>5</v>
      </c>
      <c r="D671" s="1" t="s">
        <v>668</v>
      </c>
      <c r="E671">
        <v>9</v>
      </c>
    </row>
    <row r="672" spans="1:5" x14ac:dyDescent="0.2">
      <c r="A672">
        <v>10026255</v>
      </c>
      <c r="B672">
        <v>20437651</v>
      </c>
      <c r="C672">
        <v>12</v>
      </c>
      <c r="D672" s="1" t="s">
        <v>353</v>
      </c>
      <c r="E672">
        <v>9</v>
      </c>
    </row>
    <row r="673" spans="1:5" x14ac:dyDescent="0.2">
      <c r="A673">
        <v>10018328</v>
      </c>
      <c r="B673">
        <v>23786647</v>
      </c>
      <c r="C673">
        <v>8</v>
      </c>
      <c r="D673" s="1" t="s">
        <v>669</v>
      </c>
      <c r="E673">
        <v>10</v>
      </c>
    </row>
    <row r="674" spans="1:5" x14ac:dyDescent="0.2">
      <c r="A674">
        <v>10018328</v>
      </c>
      <c r="B674">
        <v>23786647</v>
      </c>
      <c r="C674">
        <v>5</v>
      </c>
      <c r="D674" s="1" t="s">
        <v>334</v>
      </c>
      <c r="E674">
        <v>10</v>
      </c>
    </row>
    <row r="675" spans="1:5" x14ac:dyDescent="0.2">
      <c r="A675">
        <v>10018328</v>
      </c>
      <c r="B675">
        <v>23786647</v>
      </c>
      <c r="C675">
        <v>10</v>
      </c>
      <c r="D675" s="1" t="s">
        <v>379</v>
      </c>
      <c r="E675">
        <v>10</v>
      </c>
    </row>
    <row r="676" spans="1:5" x14ac:dyDescent="0.2">
      <c r="A676">
        <v>10018328</v>
      </c>
      <c r="B676">
        <v>23786647</v>
      </c>
      <c r="C676">
        <v>9</v>
      </c>
      <c r="D676" s="1" t="s">
        <v>670</v>
      </c>
      <c r="E676">
        <v>10</v>
      </c>
    </row>
    <row r="677" spans="1:5" x14ac:dyDescent="0.2">
      <c r="A677">
        <v>10018328</v>
      </c>
      <c r="B677">
        <v>23786647</v>
      </c>
      <c r="C677">
        <v>7</v>
      </c>
      <c r="D677" s="1" t="s">
        <v>671</v>
      </c>
      <c r="E677">
        <v>10</v>
      </c>
    </row>
    <row r="678" spans="1:5" x14ac:dyDescent="0.2">
      <c r="A678">
        <v>10018328</v>
      </c>
      <c r="B678">
        <v>23786647</v>
      </c>
      <c r="C678">
        <v>3</v>
      </c>
      <c r="D678" s="1" t="s">
        <v>672</v>
      </c>
      <c r="E678">
        <v>10</v>
      </c>
    </row>
    <row r="679" spans="1:5" x14ac:dyDescent="0.2">
      <c r="A679">
        <v>10018328</v>
      </c>
      <c r="B679">
        <v>23786647</v>
      </c>
      <c r="C679">
        <v>11</v>
      </c>
      <c r="D679" s="1" t="s">
        <v>673</v>
      </c>
      <c r="E679">
        <v>10</v>
      </c>
    </row>
    <row r="680" spans="1:5" x14ac:dyDescent="0.2">
      <c r="A680">
        <v>10018328</v>
      </c>
      <c r="B680">
        <v>23786647</v>
      </c>
      <c r="C680">
        <v>2</v>
      </c>
      <c r="D680" s="1" t="s">
        <v>674</v>
      </c>
      <c r="E680">
        <v>10</v>
      </c>
    </row>
    <row r="681" spans="1:5" x14ac:dyDescent="0.2">
      <c r="A681">
        <v>10018328</v>
      </c>
      <c r="B681">
        <v>23786647</v>
      </c>
      <c r="C681">
        <v>16</v>
      </c>
      <c r="D681" s="1" t="s">
        <v>337</v>
      </c>
      <c r="E681">
        <v>10</v>
      </c>
    </row>
    <row r="682" spans="1:5" x14ac:dyDescent="0.2">
      <c r="A682">
        <v>10018328</v>
      </c>
      <c r="B682">
        <v>23786647</v>
      </c>
      <c r="C682">
        <v>6</v>
      </c>
      <c r="D682" s="1" t="s">
        <v>675</v>
      </c>
      <c r="E682">
        <v>10</v>
      </c>
    </row>
    <row r="683" spans="1:5" x14ac:dyDescent="0.2">
      <c r="A683">
        <v>10018328</v>
      </c>
      <c r="B683">
        <v>23786647</v>
      </c>
      <c r="C683">
        <v>1</v>
      </c>
      <c r="D683" s="1" t="s">
        <v>375</v>
      </c>
      <c r="E683">
        <v>10</v>
      </c>
    </row>
    <row r="684" spans="1:5" x14ac:dyDescent="0.2">
      <c r="A684">
        <v>10018328</v>
      </c>
      <c r="B684">
        <v>23786647</v>
      </c>
      <c r="C684">
        <v>12</v>
      </c>
      <c r="D684" s="1" t="s">
        <v>329</v>
      </c>
      <c r="E684">
        <v>10</v>
      </c>
    </row>
    <row r="685" spans="1:5" x14ac:dyDescent="0.2">
      <c r="A685">
        <v>10018328</v>
      </c>
      <c r="B685">
        <v>23786647</v>
      </c>
      <c r="C685">
        <v>4</v>
      </c>
      <c r="D685" s="1" t="s">
        <v>676</v>
      </c>
      <c r="E685">
        <v>10</v>
      </c>
    </row>
    <row r="686" spans="1:5" x14ac:dyDescent="0.2">
      <c r="A686">
        <v>10018328</v>
      </c>
      <c r="B686">
        <v>23786647</v>
      </c>
      <c r="C686">
        <v>14</v>
      </c>
      <c r="D686" s="1" t="s">
        <v>677</v>
      </c>
      <c r="E686">
        <v>10</v>
      </c>
    </row>
    <row r="687" spans="1:5" x14ac:dyDescent="0.2">
      <c r="A687">
        <v>10018328</v>
      </c>
      <c r="B687">
        <v>23786647</v>
      </c>
      <c r="C687">
        <v>13</v>
      </c>
      <c r="D687" s="1" t="s">
        <v>678</v>
      </c>
      <c r="E687">
        <v>10</v>
      </c>
    </row>
    <row r="688" spans="1:5" x14ac:dyDescent="0.2">
      <c r="A688">
        <v>10018328</v>
      </c>
      <c r="B688">
        <v>23786647</v>
      </c>
      <c r="C688">
        <v>15</v>
      </c>
      <c r="D688" s="1" t="s">
        <v>679</v>
      </c>
      <c r="E688">
        <v>10</v>
      </c>
    </row>
    <row r="689" spans="1:5" x14ac:dyDescent="0.2">
      <c r="A689">
        <v>10018328</v>
      </c>
      <c r="B689">
        <v>26706939</v>
      </c>
      <c r="C689">
        <v>10</v>
      </c>
      <c r="D689" s="1" t="s">
        <v>333</v>
      </c>
      <c r="E689">
        <v>10</v>
      </c>
    </row>
    <row r="690" spans="1:5" x14ac:dyDescent="0.2">
      <c r="A690">
        <v>10018328</v>
      </c>
      <c r="B690">
        <v>26706939</v>
      </c>
      <c r="C690">
        <v>8</v>
      </c>
      <c r="D690" s="1" t="s">
        <v>379</v>
      </c>
      <c r="E690">
        <v>10</v>
      </c>
    </row>
    <row r="691" spans="1:5" x14ac:dyDescent="0.2">
      <c r="A691">
        <v>10018328</v>
      </c>
      <c r="B691">
        <v>26706939</v>
      </c>
      <c r="C691">
        <v>6</v>
      </c>
      <c r="D691" s="1" t="s">
        <v>680</v>
      </c>
      <c r="E691">
        <v>10</v>
      </c>
    </row>
    <row r="692" spans="1:5" x14ac:dyDescent="0.2">
      <c r="A692">
        <v>10018328</v>
      </c>
      <c r="B692">
        <v>26706939</v>
      </c>
      <c r="C692">
        <v>2</v>
      </c>
      <c r="D692" s="1" t="s">
        <v>375</v>
      </c>
      <c r="E692">
        <v>10</v>
      </c>
    </row>
    <row r="693" spans="1:5" x14ac:dyDescent="0.2">
      <c r="A693">
        <v>10018328</v>
      </c>
      <c r="B693">
        <v>26706939</v>
      </c>
      <c r="C693">
        <v>7</v>
      </c>
      <c r="D693" s="1" t="s">
        <v>681</v>
      </c>
      <c r="E693">
        <v>10</v>
      </c>
    </row>
    <row r="694" spans="1:5" x14ac:dyDescent="0.2">
      <c r="A694">
        <v>10018328</v>
      </c>
      <c r="B694">
        <v>26706939</v>
      </c>
      <c r="C694">
        <v>12</v>
      </c>
      <c r="D694" s="1" t="s">
        <v>673</v>
      </c>
      <c r="E694">
        <v>10</v>
      </c>
    </row>
    <row r="695" spans="1:5" x14ac:dyDescent="0.2">
      <c r="A695">
        <v>10018328</v>
      </c>
      <c r="B695">
        <v>26706939</v>
      </c>
      <c r="C695">
        <v>4</v>
      </c>
      <c r="D695" s="1" t="s">
        <v>682</v>
      </c>
      <c r="E695">
        <v>10</v>
      </c>
    </row>
    <row r="696" spans="1:5" x14ac:dyDescent="0.2">
      <c r="A696">
        <v>10018328</v>
      </c>
      <c r="B696">
        <v>26706939</v>
      </c>
      <c r="C696">
        <v>3</v>
      </c>
      <c r="D696" s="1" t="s">
        <v>683</v>
      </c>
      <c r="E696">
        <v>10</v>
      </c>
    </row>
    <row r="697" spans="1:5" x14ac:dyDescent="0.2">
      <c r="A697">
        <v>10018328</v>
      </c>
      <c r="B697">
        <v>26706939</v>
      </c>
      <c r="C697">
        <v>11</v>
      </c>
      <c r="D697" s="1" t="s">
        <v>684</v>
      </c>
      <c r="E697">
        <v>10</v>
      </c>
    </row>
    <row r="698" spans="1:5" x14ac:dyDescent="0.2">
      <c r="A698">
        <v>10018328</v>
      </c>
      <c r="B698">
        <v>26706939</v>
      </c>
      <c r="C698">
        <v>1</v>
      </c>
      <c r="D698" s="1" t="s">
        <v>685</v>
      </c>
      <c r="E698">
        <v>10</v>
      </c>
    </row>
    <row r="699" spans="1:5" x14ac:dyDescent="0.2">
      <c r="A699">
        <v>10018328</v>
      </c>
      <c r="B699">
        <v>26706939</v>
      </c>
      <c r="C699">
        <v>9</v>
      </c>
      <c r="D699" s="1" t="s">
        <v>435</v>
      </c>
      <c r="E699">
        <v>10</v>
      </c>
    </row>
    <row r="700" spans="1:5" x14ac:dyDescent="0.2">
      <c r="A700">
        <v>10018328</v>
      </c>
      <c r="B700">
        <v>26706939</v>
      </c>
      <c r="C700">
        <v>5</v>
      </c>
      <c r="D700" s="1" t="s">
        <v>617</v>
      </c>
      <c r="E700">
        <v>10</v>
      </c>
    </row>
    <row r="701" spans="1:5" x14ac:dyDescent="0.2">
      <c r="A701">
        <v>10018081</v>
      </c>
      <c r="B701">
        <v>23983182</v>
      </c>
      <c r="C701">
        <v>16</v>
      </c>
      <c r="D701" s="1" t="s">
        <v>359</v>
      </c>
      <c r="E701">
        <v>9</v>
      </c>
    </row>
    <row r="702" spans="1:5" x14ac:dyDescent="0.2">
      <c r="A702">
        <v>10018081</v>
      </c>
      <c r="B702">
        <v>23983182</v>
      </c>
      <c r="C702">
        <v>1</v>
      </c>
      <c r="D702" s="1" t="s">
        <v>283</v>
      </c>
      <c r="E702">
        <v>9</v>
      </c>
    </row>
    <row r="703" spans="1:5" x14ac:dyDescent="0.2">
      <c r="A703">
        <v>10018081</v>
      </c>
      <c r="B703">
        <v>23983182</v>
      </c>
      <c r="C703">
        <v>4</v>
      </c>
      <c r="D703" s="1" t="s">
        <v>686</v>
      </c>
      <c r="E703">
        <v>9</v>
      </c>
    </row>
    <row r="704" spans="1:5" x14ac:dyDescent="0.2">
      <c r="A704">
        <v>10018081</v>
      </c>
      <c r="B704">
        <v>23983182</v>
      </c>
      <c r="C704">
        <v>10</v>
      </c>
      <c r="D704" s="1" t="s">
        <v>259</v>
      </c>
      <c r="E704">
        <v>9</v>
      </c>
    </row>
    <row r="705" spans="1:5" x14ac:dyDescent="0.2">
      <c r="A705">
        <v>10018081</v>
      </c>
      <c r="B705">
        <v>23983182</v>
      </c>
      <c r="C705">
        <v>18</v>
      </c>
      <c r="D705" s="1" t="s">
        <v>348</v>
      </c>
      <c r="E705">
        <v>9</v>
      </c>
    </row>
    <row r="706" spans="1:5" x14ac:dyDescent="0.2">
      <c r="A706">
        <v>10018081</v>
      </c>
      <c r="B706">
        <v>23983182</v>
      </c>
      <c r="C706">
        <v>13</v>
      </c>
      <c r="D706" s="1" t="s">
        <v>687</v>
      </c>
      <c r="E706">
        <v>9</v>
      </c>
    </row>
    <row r="707" spans="1:5" x14ac:dyDescent="0.2">
      <c r="A707">
        <v>10018081</v>
      </c>
      <c r="B707">
        <v>23983182</v>
      </c>
      <c r="C707">
        <v>14</v>
      </c>
      <c r="D707" s="1" t="s">
        <v>688</v>
      </c>
      <c r="E707">
        <v>9</v>
      </c>
    </row>
    <row r="708" spans="1:5" x14ac:dyDescent="0.2">
      <c r="A708">
        <v>10018081</v>
      </c>
      <c r="B708">
        <v>23983182</v>
      </c>
      <c r="C708">
        <v>5</v>
      </c>
      <c r="D708" s="1" t="s">
        <v>689</v>
      </c>
      <c r="E708">
        <v>9</v>
      </c>
    </row>
    <row r="709" spans="1:5" x14ac:dyDescent="0.2">
      <c r="A709">
        <v>10018081</v>
      </c>
      <c r="B709">
        <v>23983182</v>
      </c>
      <c r="C709">
        <v>6</v>
      </c>
      <c r="D709" s="1" t="s">
        <v>690</v>
      </c>
      <c r="E709">
        <v>9</v>
      </c>
    </row>
    <row r="710" spans="1:5" x14ac:dyDescent="0.2">
      <c r="A710">
        <v>10018081</v>
      </c>
      <c r="B710">
        <v>23983182</v>
      </c>
      <c r="C710">
        <v>12</v>
      </c>
      <c r="D710" s="1" t="s">
        <v>275</v>
      </c>
      <c r="E710">
        <v>9</v>
      </c>
    </row>
    <row r="711" spans="1:5" x14ac:dyDescent="0.2">
      <c r="A711">
        <v>10018081</v>
      </c>
      <c r="B711">
        <v>23983182</v>
      </c>
      <c r="C711">
        <v>2</v>
      </c>
      <c r="D711" s="1" t="s">
        <v>691</v>
      </c>
      <c r="E711">
        <v>9</v>
      </c>
    </row>
    <row r="712" spans="1:5" x14ac:dyDescent="0.2">
      <c r="A712">
        <v>10018081</v>
      </c>
      <c r="B712">
        <v>23983182</v>
      </c>
      <c r="C712">
        <v>7</v>
      </c>
      <c r="D712" s="1" t="s">
        <v>253</v>
      </c>
      <c r="E712">
        <v>9</v>
      </c>
    </row>
    <row r="713" spans="1:5" x14ac:dyDescent="0.2">
      <c r="A713">
        <v>10018081</v>
      </c>
      <c r="B713">
        <v>23983182</v>
      </c>
      <c r="C713">
        <v>19</v>
      </c>
      <c r="D713" s="1" t="s">
        <v>369</v>
      </c>
      <c r="E713">
        <v>9</v>
      </c>
    </row>
    <row r="714" spans="1:5" x14ac:dyDescent="0.2">
      <c r="A714">
        <v>10018081</v>
      </c>
      <c r="B714">
        <v>23983182</v>
      </c>
      <c r="C714">
        <v>3</v>
      </c>
      <c r="D714" s="1" t="s">
        <v>692</v>
      </c>
      <c r="E714">
        <v>9</v>
      </c>
    </row>
    <row r="715" spans="1:5" x14ac:dyDescent="0.2">
      <c r="A715">
        <v>10018081</v>
      </c>
      <c r="B715">
        <v>23983182</v>
      </c>
      <c r="C715">
        <v>15</v>
      </c>
      <c r="D715" s="1" t="s">
        <v>385</v>
      </c>
      <c r="E715">
        <v>9</v>
      </c>
    </row>
    <row r="716" spans="1:5" x14ac:dyDescent="0.2">
      <c r="A716">
        <v>10018081</v>
      </c>
      <c r="B716">
        <v>23983182</v>
      </c>
      <c r="C716">
        <v>17</v>
      </c>
      <c r="D716" s="1" t="s">
        <v>418</v>
      </c>
      <c r="E716">
        <v>9</v>
      </c>
    </row>
    <row r="717" spans="1:5" x14ac:dyDescent="0.2">
      <c r="A717">
        <v>10018081</v>
      </c>
      <c r="B717">
        <v>23983182</v>
      </c>
      <c r="C717">
        <v>8</v>
      </c>
      <c r="D717" s="1" t="s">
        <v>649</v>
      </c>
      <c r="E717">
        <v>9</v>
      </c>
    </row>
    <row r="718" spans="1:5" x14ac:dyDescent="0.2">
      <c r="A718">
        <v>10018081</v>
      </c>
      <c r="B718">
        <v>23983182</v>
      </c>
      <c r="C718">
        <v>9</v>
      </c>
      <c r="D718" s="1" t="s">
        <v>320</v>
      </c>
      <c r="E718">
        <v>9</v>
      </c>
    </row>
    <row r="719" spans="1:5" x14ac:dyDescent="0.2">
      <c r="A719">
        <v>10018081</v>
      </c>
      <c r="B719">
        <v>23983182</v>
      </c>
      <c r="C719">
        <v>11</v>
      </c>
      <c r="D719" s="1" t="s">
        <v>296</v>
      </c>
      <c r="E719">
        <v>9</v>
      </c>
    </row>
    <row r="720" spans="1:5" x14ac:dyDescent="0.2">
      <c r="A720">
        <v>10018081</v>
      </c>
      <c r="B720">
        <v>25973915</v>
      </c>
      <c r="C720">
        <v>3</v>
      </c>
      <c r="D720" s="1" t="s">
        <v>403</v>
      </c>
      <c r="E720">
        <v>9</v>
      </c>
    </row>
    <row r="721" spans="1:5" x14ac:dyDescent="0.2">
      <c r="A721">
        <v>10018081</v>
      </c>
      <c r="B721">
        <v>25973915</v>
      </c>
      <c r="C721">
        <v>14</v>
      </c>
      <c r="D721" s="1" t="s">
        <v>347</v>
      </c>
      <c r="E721">
        <v>9</v>
      </c>
    </row>
    <row r="722" spans="1:5" x14ac:dyDescent="0.2">
      <c r="A722">
        <v>10018081</v>
      </c>
      <c r="B722">
        <v>25973915</v>
      </c>
      <c r="C722">
        <v>15</v>
      </c>
      <c r="D722" s="1" t="s">
        <v>275</v>
      </c>
      <c r="E722">
        <v>9</v>
      </c>
    </row>
    <row r="723" spans="1:5" x14ac:dyDescent="0.2">
      <c r="A723">
        <v>10018081</v>
      </c>
      <c r="B723">
        <v>25973915</v>
      </c>
      <c r="C723">
        <v>12</v>
      </c>
      <c r="D723" s="1" t="s">
        <v>272</v>
      </c>
      <c r="E723">
        <v>9</v>
      </c>
    </row>
    <row r="724" spans="1:5" x14ac:dyDescent="0.2">
      <c r="A724">
        <v>10018081</v>
      </c>
      <c r="B724">
        <v>25973915</v>
      </c>
      <c r="C724">
        <v>1</v>
      </c>
      <c r="D724" s="1" t="s">
        <v>693</v>
      </c>
      <c r="E724">
        <v>9</v>
      </c>
    </row>
    <row r="725" spans="1:5" x14ac:dyDescent="0.2">
      <c r="A725">
        <v>10018081</v>
      </c>
      <c r="B725">
        <v>25973915</v>
      </c>
      <c r="C725">
        <v>2</v>
      </c>
      <c r="D725" s="1" t="s">
        <v>548</v>
      </c>
      <c r="E725">
        <v>9</v>
      </c>
    </row>
    <row r="726" spans="1:5" x14ac:dyDescent="0.2">
      <c r="A726">
        <v>10018081</v>
      </c>
      <c r="B726">
        <v>25973915</v>
      </c>
      <c r="C726">
        <v>5</v>
      </c>
      <c r="D726" s="1" t="s">
        <v>650</v>
      </c>
      <c r="E726">
        <v>9</v>
      </c>
    </row>
    <row r="727" spans="1:5" x14ac:dyDescent="0.2">
      <c r="A727">
        <v>10018081</v>
      </c>
      <c r="B727">
        <v>25973915</v>
      </c>
      <c r="C727">
        <v>10</v>
      </c>
      <c r="D727" s="1" t="s">
        <v>694</v>
      </c>
      <c r="E727">
        <v>9</v>
      </c>
    </row>
    <row r="728" spans="1:5" x14ac:dyDescent="0.2">
      <c r="A728">
        <v>10018081</v>
      </c>
      <c r="B728">
        <v>25973915</v>
      </c>
      <c r="C728">
        <v>16</v>
      </c>
      <c r="D728" s="1" t="s">
        <v>259</v>
      </c>
      <c r="E728">
        <v>9</v>
      </c>
    </row>
    <row r="729" spans="1:5" x14ac:dyDescent="0.2">
      <c r="A729">
        <v>10018081</v>
      </c>
      <c r="B729">
        <v>25973915</v>
      </c>
      <c r="C729">
        <v>9</v>
      </c>
      <c r="D729" s="1" t="s">
        <v>418</v>
      </c>
      <c r="E729">
        <v>9</v>
      </c>
    </row>
    <row r="730" spans="1:5" x14ac:dyDescent="0.2">
      <c r="A730">
        <v>10018081</v>
      </c>
      <c r="B730">
        <v>25973915</v>
      </c>
      <c r="C730">
        <v>8</v>
      </c>
      <c r="D730" s="1" t="s">
        <v>320</v>
      </c>
      <c r="E730">
        <v>9</v>
      </c>
    </row>
    <row r="731" spans="1:5" x14ac:dyDescent="0.2">
      <c r="A731">
        <v>10018081</v>
      </c>
      <c r="B731">
        <v>25973915</v>
      </c>
      <c r="C731">
        <v>7</v>
      </c>
      <c r="D731" s="1" t="s">
        <v>253</v>
      </c>
      <c r="E731">
        <v>9</v>
      </c>
    </row>
    <row r="732" spans="1:5" x14ac:dyDescent="0.2">
      <c r="A732">
        <v>10018081</v>
      </c>
      <c r="B732">
        <v>25973915</v>
      </c>
      <c r="C732">
        <v>11</v>
      </c>
      <c r="D732" s="1" t="s">
        <v>695</v>
      </c>
      <c r="E732">
        <v>9</v>
      </c>
    </row>
    <row r="733" spans="1:5" x14ac:dyDescent="0.2">
      <c r="A733">
        <v>10018081</v>
      </c>
      <c r="B733">
        <v>25973915</v>
      </c>
      <c r="C733">
        <v>4</v>
      </c>
      <c r="D733" s="1" t="s">
        <v>409</v>
      </c>
      <c r="E733">
        <v>9</v>
      </c>
    </row>
    <row r="734" spans="1:5" x14ac:dyDescent="0.2">
      <c r="A734">
        <v>10018081</v>
      </c>
      <c r="B734">
        <v>25973915</v>
      </c>
      <c r="C734">
        <v>13</v>
      </c>
      <c r="D734" s="1" t="s">
        <v>359</v>
      </c>
      <c r="E734">
        <v>9</v>
      </c>
    </row>
    <row r="735" spans="1:5" x14ac:dyDescent="0.2">
      <c r="A735">
        <v>10018081</v>
      </c>
      <c r="B735">
        <v>25973915</v>
      </c>
      <c r="C735">
        <v>6</v>
      </c>
      <c r="D735" s="1" t="s">
        <v>649</v>
      </c>
      <c r="E735">
        <v>9</v>
      </c>
    </row>
    <row r="736" spans="1:5" x14ac:dyDescent="0.2">
      <c r="A736">
        <v>10018081</v>
      </c>
      <c r="B736">
        <v>28861356</v>
      </c>
      <c r="C736">
        <v>5</v>
      </c>
      <c r="D736" s="1" t="s">
        <v>307</v>
      </c>
      <c r="E736">
        <v>9</v>
      </c>
    </row>
    <row r="737" spans="1:5" x14ac:dyDescent="0.2">
      <c r="A737">
        <v>10018081</v>
      </c>
      <c r="B737">
        <v>28861356</v>
      </c>
      <c r="C737">
        <v>9</v>
      </c>
      <c r="D737" s="1" t="s">
        <v>418</v>
      </c>
      <c r="E737">
        <v>9</v>
      </c>
    </row>
    <row r="738" spans="1:5" x14ac:dyDescent="0.2">
      <c r="A738">
        <v>10018081</v>
      </c>
      <c r="B738">
        <v>28861356</v>
      </c>
      <c r="C738">
        <v>2</v>
      </c>
      <c r="D738" s="1" t="s">
        <v>696</v>
      </c>
      <c r="E738">
        <v>9</v>
      </c>
    </row>
    <row r="739" spans="1:5" x14ac:dyDescent="0.2">
      <c r="A739">
        <v>10018081</v>
      </c>
      <c r="B739">
        <v>28861356</v>
      </c>
      <c r="C739">
        <v>6</v>
      </c>
      <c r="D739" s="1" t="s">
        <v>697</v>
      </c>
      <c r="E739">
        <v>9</v>
      </c>
    </row>
    <row r="740" spans="1:5" x14ac:dyDescent="0.2">
      <c r="A740">
        <v>10018081</v>
      </c>
      <c r="B740">
        <v>28861356</v>
      </c>
      <c r="C740">
        <v>18</v>
      </c>
      <c r="D740" s="1" t="s">
        <v>259</v>
      </c>
      <c r="E740">
        <v>9</v>
      </c>
    </row>
    <row r="741" spans="1:5" x14ac:dyDescent="0.2">
      <c r="A741">
        <v>10018081</v>
      </c>
      <c r="B741">
        <v>28861356</v>
      </c>
      <c r="C741">
        <v>12</v>
      </c>
      <c r="D741" s="1" t="s">
        <v>285</v>
      </c>
      <c r="E741">
        <v>9</v>
      </c>
    </row>
    <row r="742" spans="1:5" x14ac:dyDescent="0.2">
      <c r="A742">
        <v>10018081</v>
      </c>
      <c r="B742">
        <v>28861356</v>
      </c>
      <c r="C742">
        <v>1</v>
      </c>
      <c r="D742" s="1" t="s">
        <v>698</v>
      </c>
      <c r="E742">
        <v>9</v>
      </c>
    </row>
    <row r="743" spans="1:5" x14ac:dyDescent="0.2">
      <c r="A743">
        <v>10018081</v>
      </c>
      <c r="B743">
        <v>28861356</v>
      </c>
      <c r="C743">
        <v>4</v>
      </c>
      <c r="D743" s="1" t="s">
        <v>649</v>
      </c>
      <c r="E743">
        <v>9</v>
      </c>
    </row>
    <row r="744" spans="1:5" x14ac:dyDescent="0.2">
      <c r="A744">
        <v>10018081</v>
      </c>
      <c r="B744">
        <v>28861356</v>
      </c>
      <c r="C744">
        <v>17</v>
      </c>
      <c r="D744" s="1" t="s">
        <v>699</v>
      </c>
      <c r="E744">
        <v>9</v>
      </c>
    </row>
    <row r="745" spans="1:5" x14ac:dyDescent="0.2">
      <c r="A745">
        <v>10018081</v>
      </c>
      <c r="B745">
        <v>28861356</v>
      </c>
      <c r="C745">
        <v>14</v>
      </c>
      <c r="D745" s="1" t="s">
        <v>700</v>
      </c>
      <c r="E745">
        <v>9</v>
      </c>
    </row>
    <row r="746" spans="1:5" x14ac:dyDescent="0.2">
      <c r="A746">
        <v>10018081</v>
      </c>
      <c r="B746">
        <v>28861356</v>
      </c>
      <c r="C746">
        <v>3</v>
      </c>
      <c r="D746" s="1" t="s">
        <v>650</v>
      </c>
      <c r="E746">
        <v>9</v>
      </c>
    </row>
    <row r="747" spans="1:5" x14ac:dyDescent="0.2">
      <c r="A747">
        <v>10018081</v>
      </c>
      <c r="B747">
        <v>28861356</v>
      </c>
      <c r="C747">
        <v>10</v>
      </c>
      <c r="D747" s="1" t="s">
        <v>296</v>
      </c>
      <c r="E747">
        <v>9</v>
      </c>
    </row>
    <row r="748" spans="1:5" x14ac:dyDescent="0.2">
      <c r="A748">
        <v>10018081</v>
      </c>
      <c r="B748">
        <v>28861356</v>
      </c>
      <c r="C748">
        <v>15</v>
      </c>
      <c r="D748" s="1" t="s">
        <v>382</v>
      </c>
      <c r="E748">
        <v>9</v>
      </c>
    </row>
    <row r="749" spans="1:5" x14ac:dyDescent="0.2">
      <c r="A749">
        <v>10018081</v>
      </c>
      <c r="B749">
        <v>28861356</v>
      </c>
      <c r="C749">
        <v>8</v>
      </c>
      <c r="D749" s="1" t="s">
        <v>694</v>
      </c>
      <c r="E749">
        <v>9</v>
      </c>
    </row>
    <row r="750" spans="1:5" x14ac:dyDescent="0.2">
      <c r="A750">
        <v>10018081</v>
      </c>
      <c r="B750">
        <v>28861356</v>
      </c>
      <c r="C750">
        <v>11</v>
      </c>
      <c r="D750" s="1" t="s">
        <v>281</v>
      </c>
      <c r="E750">
        <v>9</v>
      </c>
    </row>
    <row r="751" spans="1:5" x14ac:dyDescent="0.2">
      <c r="A751">
        <v>10018081</v>
      </c>
      <c r="B751">
        <v>28861356</v>
      </c>
      <c r="C751">
        <v>7</v>
      </c>
      <c r="D751" s="1" t="s">
        <v>701</v>
      </c>
      <c r="E751">
        <v>9</v>
      </c>
    </row>
    <row r="752" spans="1:5" x14ac:dyDescent="0.2">
      <c r="A752">
        <v>10018081</v>
      </c>
      <c r="B752">
        <v>28861356</v>
      </c>
      <c r="C752">
        <v>16</v>
      </c>
      <c r="D752" s="1" t="s">
        <v>702</v>
      </c>
      <c r="E752">
        <v>9</v>
      </c>
    </row>
    <row r="753" spans="1:5" x14ac:dyDescent="0.2">
      <c r="A753">
        <v>10018081</v>
      </c>
      <c r="B753">
        <v>28861356</v>
      </c>
      <c r="C753">
        <v>13</v>
      </c>
      <c r="D753" s="1" t="s">
        <v>703</v>
      </c>
      <c r="E753">
        <v>9</v>
      </c>
    </row>
    <row r="754" spans="1:5" x14ac:dyDescent="0.2">
      <c r="A754">
        <v>10018081</v>
      </c>
      <c r="B754">
        <v>21027282</v>
      </c>
      <c r="C754">
        <v>4</v>
      </c>
      <c r="D754" s="1" t="s">
        <v>454</v>
      </c>
      <c r="E754">
        <v>9</v>
      </c>
    </row>
    <row r="755" spans="1:5" x14ac:dyDescent="0.2">
      <c r="A755">
        <v>10018081</v>
      </c>
      <c r="B755">
        <v>21027282</v>
      </c>
      <c r="C755">
        <v>18</v>
      </c>
      <c r="D755" s="1" t="s">
        <v>385</v>
      </c>
      <c r="E755">
        <v>9</v>
      </c>
    </row>
    <row r="756" spans="1:5" x14ac:dyDescent="0.2">
      <c r="A756">
        <v>10018081</v>
      </c>
      <c r="B756">
        <v>21027282</v>
      </c>
      <c r="C756">
        <v>26</v>
      </c>
      <c r="D756" s="1" t="s">
        <v>259</v>
      </c>
      <c r="E756">
        <v>9</v>
      </c>
    </row>
    <row r="757" spans="1:5" x14ac:dyDescent="0.2">
      <c r="A757">
        <v>10018081</v>
      </c>
      <c r="B757">
        <v>21027282</v>
      </c>
      <c r="C757">
        <v>28</v>
      </c>
      <c r="D757" s="1" t="s">
        <v>704</v>
      </c>
      <c r="E757">
        <v>9</v>
      </c>
    </row>
    <row r="758" spans="1:5" x14ac:dyDescent="0.2">
      <c r="A758">
        <v>10018081</v>
      </c>
      <c r="B758">
        <v>21027282</v>
      </c>
      <c r="C758">
        <v>1</v>
      </c>
      <c r="D758" s="1" t="s">
        <v>517</v>
      </c>
      <c r="E758">
        <v>9</v>
      </c>
    </row>
    <row r="759" spans="1:5" x14ac:dyDescent="0.2">
      <c r="A759">
        <v>10018081</v>
      </c>
      <c r="B759">
        <v>21027282</v>
      </c>
      <c r="C759">
        <v>22</v>
      </c>
      <c r="D759" s="1" t="s">
        <v>270</v>
      </c>
      <c r="E759">
        <v>9</v>
      </c>
    </row>
    <row r="760" spans="1:5" x14ac:dyDescent="0.2">
      <c r="A760">
        <v>10018081</v>
      </c>
      <c r="B760">
        <v>21027282</v>
      </c>
      <c r="C760">
        <v>23</v>
      </c>
      <c r="D760" s="1" t="s">
        <v>264</v>
      </c>
      <c r="E760">
        <v>9</v>
      </c>
    </row>
    <row r="761" spans="1:5" x14ac:dyDescent="0.2">
      <c r="A761">
        <v>10018081</v>
      </c>
      <c r="B761">
        <v>21027282</v>
      </c>
      <c r="C761">
        <v>29</v>
      </c>
      <c r="D761" s="1" t="s">
        <v>694</v>
      </c>
      <c r="E761">
        <v>9</v>
      </c>
    </row>
    <row r="762" spans="1:5" x14ac:dyDescent="0.2">
      <c r="A762">
        <v>10018081</v>
      </c>
      <c r="B762">
        <v>21027282</v>
      </c>
      <c r="C762">
        <v>6</v>
      </c>
      <c r="D762" s="1" t="s">
        <v>389</v>
      </c>
      <c r="E762">
        <v>9</v>
      </c>
    </row>
    <row r="763" spans="1:5" x14ac:dyDescent="0.2">
      <c r="A763">
        <v>10018081</v>
      </c>
      <c r="B763">
        <v>21027282</v>
      </c>
      <c r="C763">
        <v>15</v>
      </c>
      <c r="D763" s="1" t="s">
        <v>649</v>
      </c>
      <c r="E763">
        <v>9</v>
      </c>
    </row>
    <row r="764" spans="1:5" x14ac:dyDescent="0.2">
      <c r="A764">
        <v>10018081</v>
      </c>
      <c r="B764">
        <v>21027282</v>
      </c>
      <c r="C764">
        <v>21</v>
      </c>
      <c r="D764" s="1" t="s">
        <v>268</v>
      </c>
      <c r="E764">
        <v>9</v>
      </c>
    </row>
    <row r="765" spans="1:5" x14ac:dyDescent="0.2">
      <c r="A765">
        <v>10018081</v>
      </c>
      <c r="B765">
        <v>21027282</v>
      </c>
      <c r="C765">
        <v>2</v>
      </c>
      <c r="D765" s="1" t="s">
        <v>705</v>
      </c>
      <c r="E765">
        <v>9</v>
      </c>
    </row>
    <row r="766" spans="1:5" x14ac:dyDescent="0.2">
      <c r="A766">
        <v>10018081</v>
      </c>
      <c r="B766">
        <v>21027282</v>
      </c>
      <c r="C766">
        <v>24</v>
      </c>
      <c r="D766" s="1" t="s">
        <v>418</v>
      </c>
      <c r="E766">
        <v>9</v>
      </c>
    </row>
    <row r="767" spans="1:5" x14ac:dyDescent="0.2">
      <c r="A767">
        <v>10018081</v>
      </c>
      <c r="B767">
        <v>21027282</v>
      </c>
      <c r="C767">
        <v>16</v>
      </c>
      <c r="D767" s="1" t="s">
        <v>320</v>
      </c>
      <c r="E767">
        <v>9</v>
      </c>
    </row>
    <row r="768" spans="1:5" x14ac:dyDescent="0.2">
      <c r="A768">
        <v>10018081</v>
      </c>
      <c r="B768">
        <v>21027282</v>
      </c>
      <c r="C768">
        <v>8</v>
      </c>
      <c r="D768" s="1" t="s">
        <v>462</v>
      </c>
      <c r="E768">
        <v>9</v>
      </c>
    </row>
    <row r="769" spans="1:5" x14ac:dyDescent="0.2">
      <c r="A769">
        <v>10018081</v>
      </c>
      <c r="B769">
        <v>21027282</v>
      </c>
      <c r="C769">
        <v>7</v>
      </c>
      <c r="D769" s="1" t="s">
        <v>706</v>
      </c>
      <c r="E769">
        <v>9</v>
      </c>
    </row>
    <row r="770" spans="1:5" x14ac:dyDescent="0.2">
      <c r="A770">
        <v>10018081</v>
      </c>
      <c r="B770">
        <v>21027282</v>
      </c>
      <c r="C770">
        <v>5</v>
      </c>
      <c r="D770" s="1" t="s">
        <v>548</v>
      </c>
      <c r="E770">
        <v>9</v>
      </c>
    </row>
    <row r="771" spans="1:5" x14ac:dyDescent="0.2">
      <c r="A771">
        <v>10018081</v>
      </c>
      <c r="B771">
        <v>21027282</v>
      </c>
      <c r="C771">
        <v>19</v>
      </c>
      <c r="D771" s="1" t="s">
        <v>274</v>
      </c>
      <c r="E771">
        <v>9</v>
      </c>
    </row>
    <row r="772" spans="1:5" x14ac:dyDescent="0.2">
      <c r="A772">
        <v>10018081</v>
      </c>
      <c r="B772">
        <v>21027282</v>
      </c>
      <c r="C772">
        <v>25</v>
      </c>
      <c r="D772" s="1" t="s">
        <v>253</v>
      </c>
      <c r="E772">
        <v>9</v>
      </c>
    </row>
    <row r="773" spans="1:5" x14ac:dyDescent="0.2">
      <c r="A773">
        <v>10018081</v>
      </c>
      <c r="B773">
        <v>21027282</v>
      </c>
      <c r="C773">
        <v>27</v>
      </c>
      <c r="D773" s="1" t="s">
        <v>263</v>
      </c>
      <c r="E773">
        <v>9</v>
      </c>
    </row>
    <row r="774" spans="1:5" x14ac:dyDescent="0.2">
      <c r="A774">
        <v>10018081</v>
      </c>
      <c r="B774">
        <v>21027282</v>
      </c>
      <c r="C774">
        <v>17</v>
      </c>
      <c r="D774" s="1" t="s">
        <v>296</v>
      </c>
      <c r="E774">
        <v>9</v>
      </c>
    </row>
    <row r="775" spans="1:5" x14ac:dyDescent="0.2">
      <c r="A775">
        <v>10018081</v>
      </c>
      <c r="B775">
        <v>21027282</v>
      </c>
      <c r="C775">
        <v>20</v>
      </c>
      <c r="D775" s="1" t="s">
        <v>707</v>
      </c>
      <c r="E775">
        <v>9</v>
      </c>
    </row>
    <row r="776" spans="1:5" x14ac:dyDescent="0.2">
      <c r="A776">
        <v>10018081</v>
      </c>
      <c r="B776">
        <v>21027282</v>
      </c>
      <c r="C776">
        <v>13</v>
      </c>
      <c r="D776" s="1" t="s">
        <v>409</v>
      </c>
      <c r="E776">
        <v>9</v>
      </c>
    </row>
    <row r="777" spans="1:5" x14ac:dyDescent="0.2">
      <c r="A777">
        <v>10018081</v>
      </c>
      <c r="B777">
        <v>21027282</v>
      </c>
      <c r="C777">
        <v>9</v>
      </c>
      <c r="D777" s="1" t="s">
        <v>403</v>
      </c>
      <c r="E777">
        <v>9</v>
      </c>
    </row>
    <row r="778" spans="1:5" x14ac:dyDescent="0.2">
      <c r="A778">
        <v>10018081</v>
      </c>
      <c r="B778">
        <v>21027282</v>
      </c>
      <c r="C778">
        <v>11</v>
      </c>
      <c r="D778" s="1" t="s">
        <v>401</v>
      </c>
      <c r="E778">
        <v>9</v>
      </c>
    </row>
    <row r="779" spans="1:5" x14ac:dyDescent="0.2">
      <c r="A779">
        <v>10018081</v>
      </c>
      <c r="B779">
        <v>21027282</v>
      </c>
      <c r="C779">
        <v>3</v>
      </c>
      <c r="D779" s="1" t="s">
        <v>708</v>
      </c>
      <c r="E779">
        <v>9</v>
      </c>
    </row>
    <row r="780" spans="1:5" x14ac:dyDescent="0.2">
      <c r="A780">
        <v>10018081</v>
      </c>
      <c r="B780">
        <v>21027282</v>
      </c>
      <c r="C780">
        <v>10</v>
      </c>
      <c r="D780" s="1" t="s">
        <v>394</v>
      </c>
      <c r="E780">
        <v>9</v>
      </c>
    </row>
    <row r="781" spans="1:5" x14ac:dyDescent="0.2">
      <c r="A781">
        <v>10018081</v>
      </c>
      <c r="B781">
        <v>21027282</v>
      </c>
      <c r="C781">
        <v>14</v>
      </c>
      <c r="D781" s="1" t="s">
        <v>390</v>
      </c>
      <c r="E781">
        <v>9</v>
      </c>
    </row>
    <row r="782" spans="1:5" x14ac:dyDescent="0.2">
      <c r="A782">
        <v>10018081</v>
      </c>
      <c r="B782">
        <v>21027282</v>
      </c>
      <c r="C782">
        <v>12</v>
      </c>
      <c r="D782" s="1" t="s">
        <v>410</v>
      </c>
      <c r="E782">
        <v>9</v>
      </c>
    </row>
    <row r="783" spans="1:5" x14ac:dyDescent="0.2">
      <c r="A783">
        <v>10021666</v>
      </c>
      <c r="B783">
        <v>22756440</v>
      </c>
      <c r="C783">
        <v>32</v>
      </c>
      <c r="D783" s="1" t="s">
        <v>538</v>
      </c>
      <c r="E783">
        <v>9</v>
      </c>
    </row>
    <row r="784" spans="1:5" x14ac:dyDescent="0.2">
      <c r="A784">
        <v>10021666</v>
      </c>
      <c r="B784">
        <v>22756440</v>
      </c>
      <c r="C784">
        <v>10</v>
      </c>
      <c r="D784" s="1" t="s">
        <v>649</v>
      </c>
      <c r="E784">
        <v>9</v>
      </c>
    </row>
    <row r="785" spans="1:5" x14ac:dyDescent="0.2">
      <c r="A785">
        <v>10021666</v>
      </c>
      <c r="B785">
        <v>22756440</v>
      </c>
      <c r="C785">
        <v>17</v>
      </c>
      <c r="D785" s="1" t="s">
        <v>416</v>
      </c>
      <c r="E785">
        <v>9</v>
      </c>
    </row>
    <row r="786" spans="1:5" x14ac:dyDescent="0.2">
      <c r="A786">
        <v>10021666</v>
      </c>
      <c r="B786">
        <v>22756440</v>
      </c>
      <c r="C786">
        <v>24</v>
      </c>
      <c r="D786" s="1" t="s">
        <v>320</v>
      </c>
      <c r="E786">
        <v>9</v>
      </c>
    </row>
    <row r="787" spans="1:5" x14ac:dyDescent="0.2">
      <c r="A787">
        <v>10021666</v>
      </c>
      <c r="B787">
        <v>22756440</v>
      </c>
      <c r="C787">
        <v>21</v>
      </c>
      <c r="D787" s="1" t="s">
        <v>368</v>
      </c>
      <c r="E787">
        <v>9</v>
      </c>
    </row>
    <row r="788" spans="1:5" x14ac:dyDescent="0.2">
      <c r="A788">
        <v>10021666</v>
      </c>
      <c r="B788">
        <v>22756440</v>
      </c>
      <c r="C788">
        <v>28</v>
      </c>
      <c r="D788" s="1" t="s">
        <v>709</v>
      </c>
      <c r="E788">
        <v>9</v>
      </c>
    </row>
    <row r="789" spans="1:5" x14ac:dyDescent="0.2">
      <c r="A789">
        <v>10021666</v>
      </c>
      <c r="B789">
        <v>22756440</v>
      </c>
      <c r="C789">
        <v>1</v>
      </c>
      <c r="D789" s="1" t="s">
        <v>710</v>
      </c>
      <c r="E789">
        <v>9</v>
      </c>
    </row>
    <row r="790" spans="1:5" x14ac:dyDescent="0.2">
      <c r="A790">
        <v>10021666</v>
      </c>
      <c r="B790">
        <v>22756440</v>
      </c>
      <c r="C790">
        <v>3</v>
      </c>
      <c r="D790" s="1" t="s">
        <v>650</v>
      </c>
      <c r="E790">
        <v>9</v>
      </c>
    </row>
    <row r="791" spans="1:5" x14ac:dyDescent="0.2">
      <c r="A791">
        <v>10021666</v>
      </c>
      <c r="B791">
        <v>22756440</v>
      </c>
      <c r="C791">
        <v>15</v>
      </c>
      <c r="D791" s="1" t="s">
        <v>268</v>
      </c>
      <c r="E791">
        <v>9</v>
      </c>
    </row>
    <row r="792" spans="1:5" x14ac:dyDescent="0.2">
      <c r="A792">
        <v>10021666</v>
      </c>
      <c r="B792">
        <v>22756440</v>
      </c>
      <c r="C792">
        <v>26</v>
      </c>
      <c r="D792" s="1" t="s">
        <v>583</v>
      </c>
      <c r="E792">
        <v>9</v>
      </c>
    </row>
    <row r="793" spans="1:5" x14ac:dyDescent="0.2">
      <c r="A793">
        <v>10021666</v>
      </c>
      <c r="B793">
        <v>22756440</v>
      </c>
      <c r="C793">
        <v>29</v>
      </c>
      <c r="D793" s="1" t="s">
        <v>711</v>
      </c>
      <c r="E793">
        <v>9</v>
      </c>
    </row>
    <row r="794" spans="1:5" x14ac:dyDescent="0.2">
      <c r="A794">
        <v>10021666</v>
      </c>
      <c r="B794">
        <v>22756440</v>
      </c>
      <c r="C794">
        <v>4</v>
      </c>
      <c r="D794" s="1" t="s">
        <v>712</v>
      </c>
      <c r="E794">
        <v>9</v>
      </c>
    </row>
    <row r="795" spans="1:5" x14ac:dyDescent="0.2">
      <c r="A795">
        <v>10021666</v>
      </c>
      <c r="B795">
        <v>22756440</v>
      </c>
      <c r="C795">
        <v>18</v>
      </c>
      <c r="D795" s="1" t="s">
        <v>713</v>
      </c>
      <c r="E795">
        <v>9</v>
      </c>
    </row>
    <row r="796" spans="1:5" x14ac:dyDescent="0.2">
      <c r="A796">
        <v>10021666</v>
      </c>
      <c r="B796">
        <v>22756440</v>
      </c>
      <c r="C796">
        <v>27</v>
      </c>
      <c r="D796" s="1" t="s">
        <v>714</v>
      </c>
      <c r="E796">
        <v>9</v>
      </c>
    </row>
    <row r="797" spans="1:5" x14ac:dyDescent="0.2">
      <c r="A797">
        <v>10021666</v>
      </c>
      <c r="B797">
        <v>22756440</v>
      </c>
      <c r="C797">
        <v>30</v>
      </c>
      <c r="D797" s="1" t="s">
        <v>715</v>
      </c>
      <c r="E797">
        <v>9</v>
      </c>
    </row>
    <row r="798" spans="1:5" x14ac:dyDescent="0.2">
      <c r="A798">
        <v>10021666</v>
      </c>
      <c r="B798">
        <v>22756440</v>
      </c>
      <c r="C798">
        <v>12</v>
      </c>
      <c r="D798" s="1" t="s">
        <v>716</v>
      </c>
      <c r="E798">
        <v>9</v>
      </c>
    </row>
    <row r="799" spans="1:5" x14ac:dyDescent="0.2">
      <c r="A799">
        <v>10021666</v>
      </c>
      <c r="B799">
        <v>22756440</v>
      </c>
      <c r="C799">
        <v>14</v>
      </c>
      <c r="D799" s="1" t="s">
        <v>717</v>
      </c>
      <c r="E799">
        <v>9</v>
      </c>
    </row>
    <row r="800" spans="1:5" x14ac:dyDescent="0.2">
      <c r="A800">
        <v>10021666</v>
      </c>
      <c r="B800">
        <v>22756440</v>
      </c>
      <c r="C800">
        <v>6</v>
      </c>
      <c r="D800" s="1" t="s">
        <v>403</v>
      </c>
      <c r="E800">
        <v>9</v>
      </c>
    </row>
    <row r="801" spans="1:5" x14ac:dyDescent="0.2">
      <c r="A801">
        <v>10021666</v>
      </c>
      <c r="B801">
        <v>22756440</v>
      </c>
      <c r="C801">
        <v>13</v>
      </c>
      <c r="D801" s="1" t="s">
        <v>688</v>
      </c>
      <c r="E801">
        <v>9</v>
      </c>
    </row>
    <row r="802" spans="1:5" x14ac:dyDescent="0.2">
      <c r="A802">
        <v>10021666</v>
      </c>
      <c r="B802">
        <v>22756440</v>
      </c>
      <c r="C802">
        <v>2</v>
      </c>
      <c r="D802" s="1" t="s">
        <v>396</v>
      </c>
      <c r="E802">
        <v>9</v>
      </c>
    </row>
    <row r="803" spans="1:5" x14ac:dyDescent="0.2">
      <c r="A803">
        <v>10021666</v>
      </c>
      <c r="B803">
        <v>22756440</v>
      </c>
      <c r="C803">
        <v>8</v>
      </c>
      <c r="D803" s="1" t="s">
        <v>292</v>
      </c>
      <c r="E803">
        <v>9</v>
      </c>
    </row>
    <row r="804" spans="1:5" x14ac:dyDescent="0.2">
      <c r="A804">
        <v>10021666</v>
      </c>
      <c r="B804">
        <v>22756440</v>
      </c>
      <c r="C804">
        <v>7</v>
      </c>
      <c r="D804" s="1" t="s">
        <v>718</v>
      </c>
      <c r="E804">
        <v>9</v>
      </c>
    </row>
    <row r="805" spans="1:5" x14ac:dyDescent="0.2">
      <c r="A805">
        <v>10021666</v>
      </c>
      <c r="B805">
        <v>22756440</v>
      </c>
      <c r="C805">
        <v>16</v>
      </c>
      <c r="D805" s="1" t="s">
        <v>719</v>
      </c>
      <c r="E805">
        <v>9</v>
      </c>
    </row>
    <row r="806" spans="1:5" x14ac:dyDescent="0.2">
      <c r="A806">
        <v>10021666</v>
      </c>
      <c r="B806">
        <v>22756440</v>
      </c>
      <c r="C806">
        <v>22</v>
      </c>
      <c r="D806" s="1" t="s">
        <v>259</v>
      </c>
      <c r="E806">
        <v>9</v>
      </c>
    </row>
    <row r="807" spans="1:5" x14ac:dyDescent="0.2">
      <c r="A807">
        <v>10021666</v>
      </c>
      <c r="B807">
        <v>22756440</v>
      </c>
      <c r="C807">
        <v>11</v>
      </c>
      <c r="D807" s="1" t="s">
        <v>253</v>
      </c>
      <c r="E807">
        <v>9</v>
      </c>
    </row>
    <row r="808" spans="1:5" x14ac:dyDescent="0.2">
      <c r="A808">
        <v>10021666</v>
      </c>
      <c r="B808">
        <v>22756440</v>
      </c>
      <c r="C808">
        <v>19</v>
      </c>
      <c r="D808" s="1" t="s">
        <v>639</v>
      </c>
      <c r="E808">
        <v>9</v>
      </c>
    </row>
    <row r="809" spans="1:5" x14ac:dyDescent="0.2">
      <c r="A809">
        <v>10021666</v>
      </c>
      <c r="B809">
        <v>22756440</v>
      </c>
      <c r="C809">
        <v>5</v>
      </c>
      <c r="D809" s="1" t="s">
        <v>273</v>
      </c>
      <c r="E809">
        <v>9</v>
      </c>
    </row>
    <row r="810" spans="1:5" x14ac:dyDescent="0.2">
      <c r="A810">
        <v>10021666</v>
      </c>
      <c r="B810">
        <v>22756440</v>
      </c>
      <c r="C810">
        <v>23</v>
      </c>
      <c r="D810" s="1" t="s">
        <v>515</v>
      </c>
      <c r="E810">
        <v>9</v>
      </c>
    </row>
    <row r="811" spans="1:5" x14ac:dyDescent="0.2">
      <c r="A811">
        <v>10021666</v>
      </c>
      <c r="B811">
        <v>22756440</v>
      </c>
      <c r="C811">
        <v>31</v>
      </c>
      <c r="D811" s="1" t="s">
        <v>542</v>
      </c>
      <c r="E811">
        <v>9</v>
      </c>
    </row>
    <row r="812" spans="1:5" x14ac:dyDescent="0.2">
      <c r="A812">
        <v>10021666</v>
      </c>
      <c r="B812">
        <v>22756440</v>
      </c>
      <c r="C812">
        <v>25</v>
      </c>
      <c r="D812" s="1" t="s">
        <v>490</v>
      </c>
      <c r="E812">
        <v>9</v>
      </c>
    </row>
    <row r="813" spans="1:5" x14ac:dyDescent="0.2">
      <c r="A813">
        <v>10021666</v>
      </c>
      <c r="B813">
        <v>22756440</v>
      </c>
      <c r="C813">
        <v>9</v>
      </c>
      <c r="D813" s="1" t="s">
        <v>340</v>
      </c>
      <c r="E813">
        <v>9</v>
      </c>
    </row>
    <row r="814" spans="1:5" x14ac:dyDescent="0.2">
      <c r="A814">
        <v>10021666</v>
      </c>
      <c r="B814">
        <v>22756440</v>
      </c>
      <c r="C814">
        <v>20</v>
      </c>
      <c r="D814" s="1" t="s">
        <v>483</v>
      </c>
      <c r="E814">
        <v>9</v>
      </c>
    </row>
    <row r="815" spans="1:5" x14ac:dyDescent="0.2">
      <c r="A815">
        <v>10021938</v>
      </c>
      <c r="B815">
        <v>27154822</v>
      </c>
      <c r="C815">
        <v>10</v>
      </c>
      <c r="D815" s="1" t="s">
        <v>720</v>
      </c>
      <c r="E815">
        <v>9</v>
      </c>
    </row>
    <row r="816" spans="1:5" x14ac:dyDescent="0.2">
      <c r="A816">
        <v>10021938</v>
      </c>
      <c r="B816">
        <v>27154822</v>
      </c>
      <c r="C816">
        <v>11</v>
      </c>
      <c r="D816" s="1" t="s">
        <v>259</v>
      </c>
      <c r="E816">
        <v>9</v>
      </c>
    </row>
    <row r="817" spans="1:5" x14ac:dyDescent="0.2">
      <c r="A817">
        <v>10021938</v>
      </c>
      <c r="B817">
        <v>27154822</v>
      </c>
      <c r="C817">
        <v>4</v>
      </c>
      <c r="D817" s="1" t="s">
        <v>718</v>
      </c>
      <c r="E817">
        <v>9</v>
      </c>
    </row>
    <row r="818" spans="1:5" x14ac:dyDescent="0.2">
      <c r="A818">
        <v>10021938</v>
      </c>
      <c r="B818">
        <v>27154822</v>
      </c>
      <c r="C818">
        <v>7</v>
      </c>
      <c r="D818" s="1" t="s">
        <v>721</v>
      </c>
      <c r="E818">
        <v>9</v>
      </c>
    </row>
    <row r="819" spans="1:5" x14ac:dyDescent="0.2">
      <c r="A819">
        <v>10021938</v>
      </c>
      <c r="B819">
        <v>27154822</v>
      </c>
      <c r="C819">
        <v>9</v>
      </c>
      <c r="D819" s="1" t="s">
        <v>722</v>
      </c>
      <c r="E819">
        <v>9</v>
      </c>
    </row>
    <row r="820" spans="1:5" x14ac:dyDescent="0.2">
      <c r="A820">
        <v>10021938</v>
      </c>
      <c r="B820">
        <v>27154822</v>
      </c>
      <c r="C820">
        <v>12</v>
      </c>
      <c r="D820" s="1" t="s">
        <v>723</v>
      </c>
      <c r="E820">
        <v>9</v>
      </c>
    </row>
    <row r="821" spans="1:5" x14ac:dyDescent="0.2">
      <c r="A821">
        <v>10021938</v>
      </c>
      <c r="B821">
        <v>27154822</v>
      </c>
      <c r="C821">
        <v>8</v>
      </c>
      <c r="D821" s="1" t="s">
        <v>724</v>
      </c>
      <c r="E821">
        <v>9</v>
      </c>
    </row>
    <row r="822" spans="1:5" x14ac:dyDescent="0.2">
      <c r="A822">
        <v>10021938</v>
      </c>
      <c r="B822">
        <v>27154822</v>
      </c>
      <c r="C822">
        <v>3</v>
      </c>
      <c r="D822" s="1" t="s">
        <v>352</v>
      </c>
      <c r="E822">
        <v>9</v>
      </c>
    </row>
    <row r="823" spans="1:5" x14ac:dyDescent="0.2">
      <c r="A823">
        <v>10021938</v>
      </c>
      <c r="B823">
        <v>27154822</v>
      </c>
      <c r="C823">
        <v>5</v>
      </c>
      <c r="D823" s="1" t="s">
        <v>649</v>
      </c>
      <c r="E823">
        <v>9</v>
      </c>
    </row>
    <row r="824" spans="1:5" x14ac:dyDescent="0.2">
      <c r="A824">
        <v>10021938</v>
      </c>
      <c r="B824">
        <v>27154822</v>
      </c>
      <c r="C824">
        <v>1</v>
      </c>
      <c r="D824" s="1" t="s">
        <v>668</v>
      </c>
      <c r="E824">
        <v>9</v>
      </c>
    </row>
    <row r="825" spans="1:5" x14ac:dyDescent="0.2">
      <c r="A825">
        <v>10021938</v>
      </c>
      <c r="B825">
        <v>27154822</v>
      </c>
      <c r="C825">
        <v>6</v>
      </c>
      <c r="D825" s="1" t="s">
        <v>725</v>
      </c>
      <c r="E825">
        <v>9</v>
      </c>
    </row>
    <row r="826" spans="1:5" x14ac:dyDescent="0.2">
      <c r="A826">
        <v>10021938</v>
      </c>
      <c r="B826">
        <v>27154822</v>
      </c>
      <c r="C826">
        <v>13</v>
      </c>
      <c r="D826" s="1" t="s">
        <v>726</v>
      </c>
      <c r="E826">
        <v>9</v>
      </c>
    </row>
    <row r="827" spans="1:5" x14ac:dyDescent="0.2">
      <c r="A827">
        <v>10021938</v>
      </c>
      <c r="B827">
        <v>27154822</v>
      </c>
      <c r="C827">
        <v>2</v>
      </c>
      <c r="D827" s="1" t="s">
        <v>727</v>
      </c>
      <c r="E827">
        <v>9</v>
      </c>
    </row>
    <row r="828" spans="1:5" x14ac:dyDescent="0.2">
      <c r="A828">
        <v>10021938</v>
      </c>
      <c r="B828">
        <v>23112364</v>
      </c>
      <c r="C828">
        <v>2</v>
      </c>
      <c r="D828" s="1" t="s">
        <v>727</v>
      </c>
      <c r="E828">
        <v>9</v>
      </c>
    </row>
    <row r="829" spans="1:5" x14ac:dyDescent="0.2">
      <c r="A829">
        <v>10021938</v>
      </c>
      <c r="B829">
        <v>23112364</v>
      </c>
      <c r="C829">
        <v>4</v>
      </c>
      <c r="D829" s="1" t="s">
        <v>668</v>
      </c>
      <c r="E829">
        <v>9</v>
      </c>
    </row>
    <row r="830" spans="1:5" x14ac:dyDescent="0.2">
      <c r="A830">
        <v>10021938</v>
      </c>
      <c r="B830">
        <v>23112364</v>
      </c>
      <c r="C830">
        <v>6</v>
      </c>
      <c r="D830" s="1" t="s">
        <v>259</v>
      </c>
      <c r="E830">
        <v>9</v>
      </c>
    </row>
    <row r="831" spans="1:5" x14ac:dyDescent="0.2">
      <c r="A831">
        <v>10021938</v>
      </c>
      <c r="B831">
        <v>23112364</v>
      </c>
      <c r="C831">
        <v>8</v>
      </c>
      <c r="D831" s="1" t="s">
        <v>359</v>
      </c>
      <c r="E831">
        <v>9</v>
      </c>
    </row>
    <row r="832" spans="1:5" x14ac:dyDescent="0.2">
      <c r="A832">
        <v>10021938</v>
      </c>
      <c r="B832">
        <v>23112364</v>
      </c>
      <c r="C832">
        <v>5</v>
      </c>
      <c r="D832" s="1" t="s">
        <v>728</v>
      </c>
      <c r="E832">
        <v>9</v>
      </c>
    </row>
    <row r="833" spans="1:5" x14ac:dyDescent="0.2">
      <c r="A833">
        <v>10021938</v>
      </c>
      <c r="B833">
        <v>23112364</v>
      </c>
      <c r="C833">
        <v>7</v>
      </c>
      <c r="D833" s="1" t="s">
        <v>366</v>
      </c>
      <c r="E833">
        <v>9</v>
      </c>
    </row>
    <row r="834" spans="1:5" x14ac:dyDescent="0.2">
      <c r="A834">
        <v>10021938</v>
      </c>
      <c r="B834">
        <v>23112364</v>
      </c>
      <c r="C834">
        <v>3</v>
      </c>
      <c r="D834" s="1" t="s">
        <v>352</v>
      </c>
      <c r="E834">
        <v>9</v>
      </c>
    </row>
    <row r="835" spans="1:5" x14ac:dyDescent="0.2">
      <c r="A835">
        <v>10021938</v>
      </c>
      <c r="B835">
        <v>23112364</v>
      </c>
      <c r="C835">
        <v>9</v>
      </c>
      <c r="D835" s="1" t="s">
        <v>729</v>
      </c>
      <c r="E835">
        <v>9</v>
      </c>
    </row>
    <row r="836" spans="1:5" x14ac:dyDescent="0.2">
      <c r="A836">
        <v>10021938</v>
      </c>
      <c r="B836">
        <v>23112364</v>
      </c>
      <c r="C836">
        <v>1</v>
      </c>
      <c r="D836" s="1" t="s">
        <v>730</v>
      </c>
      <c r="E836">
        <v>9</v>
      </c>
    </row>
    <row r="837" spans="1:5" x14ac:dyDescent="0.2">
      <c r="A837">
        <v>10005817</v>
      </c>
      <c r="B837">
        <v>28661809</v>
      </c>
      <c r="C837">
        <v>7</v>
      </c>
      <c r="D837" s="1" t="s">
        <v>731</v>
      </c>
      <c r="E837">
        <v>10</v>
      </c>
    </row>
    <row r="838" spans="1:5" x14ac:dyDescent="0.2">
      <c r="A838">
        <v>10005817</v>
      </c>
      <c r="B838">
        <v>28661809</v>
      </c>
      <c r="C838">
        <v>24</v>
      </c>
      <c r="D838" s="1" t="s">
        <v>732</v>
      </c>
      <c r="E838">
        <v>10</v>
      </c>
    </row>
    <row r="839" spans="1:5" x14ac:dyDescent="0.2">
      <c r="A839">
        <v>10005817</v>
      </c>
      <c r="B839">
        <v>28661809</v>
      </c>
      <c r="C839">
        <v>21</v>
      </c>
      <c r="D839" s="1" t="s">
        <v>621</v>
      </c>
      <c r="E839">
        <v>10</v>
      </c>
    </row>
    <row r="840" spans="1:5" x14ac:dyDescent="0.2">
      <c r="A840">
        <v>10005817</v>
      </c>
      <c r="B840">
        <v>28661809</v>
      </c>
      <c r="C840">
        <v>20</v>
      </c>
      <c r="D840" s="1" t="s">
        <v>733</v>
      </c>
      <c r="E840">
        <v>10</v>
      </c>
    </row>
    <row r="841" spans="1:5" x14ac:dyDescent="0.2">
      <c r="A841">
        <v>10005817</v>
      </c>
      <c r="B841">
        <v>28661809</v>
      </c>
      <c r="C841">
        <v>19</v>
      </c>
      <c r="D841" s="1" t="s">
        <v>324</v>
      </c>
      <c r="E841">
        <v>10</v>
      </c>
    </row>
    <row r="842" spans="1:5" x14ac:dyDescent="0.2">
      <c r="A842">
        <v>10005817</v>
      </c>
      <c r="B842">
        <v>28661809</v>
      </c>
      <c r="C842">
        <v>2</v>
      </c>
      <c r="D842" s="1" t="s">
        <v>734</v>
      </c>
      <c r="E842">
        <v>10</v>
      </c>
    </row>
    <row r="843" spans="1:5" x14ac:dyDescent="0.2">
      <c r="A843">
        <v>10005817</v>
      </c>
      <c r="B843">
        <v>28661809</v>
      </c>
      <c r="C843">
        <v>9</v>
      </c>
      <c r="D843" s="1" t="s">
        <v>569</v>
      </c>
      <c r="E843">
        <v>10</v>
      </c>
    </row>
    <row r="844" spans="1:5" x14ac:dyDescent="0.2">
      <c r="A844">
        <v>10005817</v>
      </c>
      <c r="B844">
        <v>28661809</v>
      </c>
      <c r="C844">
        <v>16</v>
      </c>
      <c r="D844" s="1" t="s">
        <v>328</v>
      </c>
      <c r="E844">
        <v>10</v>
      </c>
    </row>
    <row r="845" spans="1:5" x14ac:dyDescent="0.2">
      <c r="A845">
        <v>10005817</v>
      </c>
      <c r="B845">
        <v>28661809</v>
      </c>
      <c r="C845">
        <v>14</v>
      </c>
      <c r="D845" s="1" t="s">
        <v>444</v>
      </c>
      <c r="E845">
        <v>10</v>
      </c>
    </row>
    <row r="846" spans="1:5" x14ac:dyDescent="0.2">
      <c r="A846">
        <v>10005817</v>
      </c>
      <c r="B846">
        <v>28661809</v>
      </c>
      <c r="C846">
        <v>5</v>
      </c>
      <c r="D846" s="1" t="s">
        <v>735</v>
      </c>
      <c r="E846">
        <v>10</v>
      </c>
    </row>
    <row r="847" spans="1:5" x14ac:dyDescent="0.2">
      <c r="A847">
        <v>10005817</v>
      </c>
      <c r="B847">
        <v>28661809</v>
      </c>
      <c r="C847">
        <v>8</v>
      </c>
      <c r="D847" s="1" t="s">
        <v>447</v>
      </c>
      <c r="E847">
        <v>10</v>
      </c>
    </row>
    <row r="848" spans="1:5" x14ac:dyDescent="0.2">
      <c r="A848">
        <v>10005817</v>
      </c>
      <c r="B848">
        <v>28661809</v>
      </c>
      <c r="C848">
        <v>12</v>
      </c>
      <c r="D848" s="1" t="s">
        <v>335</v>
      </c>
      <c r="E848">
        <v>10</v>
      </c>
    </row>
    <row r="849" spans="1:5" x14ac:dyDescent="0.2">
      <c r="A849">
        <v>10005817</v>
      </c>
      <c r="B849">
        <v>28661809</v>
      </c>
      <c r="C849">
        <v>23</v>
      </c>
      <c r="D849" s="1" t="s">
        <v>736</v>
      </c>
      <c r="E849">
        <v>10</v>
      </c>
    </row>
    <row r="850" spans="1:5" x14ac:dyDescent="0.2">
      <c r="A850">
        <v>10005817</v>
      </c>
      <c r="B850">
        <v>28661809</v>
      </c>
      <c r="C850">
        <v>22</v>
      </c>
      <c r="D850" s="1" t="s">
        <v>737</v>
      </c>
      <c r="E850">
        <v>10</v>
      </c>
    </row>
    <row r="851" spans="1:5" x14ac:dyDescent="0.2">
      <c r="A851">
        <v>10005817</v>
      </c>
      <c r="B851">
        <v>28661809</v>
      </c>
      <c r="C851">
        <v>18</v>
      </c>
      <c r="D851" s="1" t="s">
        <v>738</v>
      </c>
      <c r="E851">
        <v>10</v>
      </c>
    </row>
    <row r="852" spans="1:5" x14ac:dyDescent="0.2">
      <c r="A852">
        <v>10005817</v>
      </c>
      <c r="B852">
        <v>28661809</v>
      </c>
      <c r="C852">
        <v>11</v>
      </c>
      <c r="D852" s="1" t="s">
        <v>558</v>
      </c>
      <c r="E852">
        <v>10</v>
      </c>
    </row>
    <row r="853" spans="1:5" x14ac:dyDescent="0.2">
      <c r="A853">
        <v>10005817</v>
      </c>
      <c r="B853">
        <v>28661809</v>
      </c>
      <c r="C853">
        <v>17</v>
      </c>
      <c r="D853" s="1" t="s">
        <v>739</v>
      </c>
      <c r="E853">
        <v>10</v>
      </c>
    </row>
    <row r="854" spans="1:5" x14ac:dyDescent="0.2">
      <c r="A854">
        <v>10005817</v>
      </c>
      <c r="B854">
        <v>28661809</v>
      </c>
      <c r="C854">
        <v>10</v>
      </c>
      <c r="D854" s="1" t="s">
        <v>740</v>
      </c>
      <c r="E854">
        <v>10</v>
      </c>
    </row>
    <row r="855" spans="1:5" x14ac:dyDescent="0.2">
      <c r="A855">
        <v>10005817</v>
      </c>
      <c r="B855">
        <v>28661809</v>
      </c>
      <c r="C855">
        <v>15</v>
      </c>
      <c r="D855" s="1" t="s">
        <v>477</v>
      </c>
      <c r="E855">
        <v>10</v>
      </c>
    </row>
    <row r="856" spans="1:5" x14ac:dyDescent="0.2">
      <c r="A856">
        <v>10005817</v>
      </c>
      <c r="B856">
        <v>28661809</v>
      </c>
      <c r="C856">
        <v>1</v>
      </c>
      <c r="D856" s="1" t="s">
        <v>741</v>
      </c>
      <c r="E856">
        <v>10</v>
      </c>
    </row>
    <row r="857" spans="1:5" x14ac:dyDescent="0.2">
      <c r="A857">
        <v>10005817</v>
      </c>
      <c r="B857">
        <v>28661809</v>
      </c>
      <c r="C857">
        <v>13</v>
      </c>
      <c r="D857" s="1" t="s">
        <v>574</v>
      </c>
      <c r="E857">
        <v>10</v>
      </c>
    </row>
    <row r="858" spans="1:5" x14ac:dyDescent="0.2">
      <c r="A858">
        <v>10005817</v>
      </c>
      <c r="B858">
        <v>28661809</v>
      </c>
      <c r="C858">
        <v>4</v>
      </c>
      <c r="D858" s="1" t="s">
        <v>742</v>
      </c>
      <c r="E858">
        <v>10</v>
      </c>
    </row>
    <row r="859" spans="1:5" x14ac:dyDescent="0.2">
      <c r="A859">
        <v>10005817</v>
      </c>
      <c r="B859">
        <v>28661809</v>
      </c>
      <c r="C859">
        <v>6</v>
      </c>
      <c r="D859" s="1" t="s">
        <v>440</v>
      </c>
      <c r="E859">
        <v>10</v>
      </c>
    </row>
    <row r="860" spans="1:5" x14ac:dyDescent="0.2">
      <c r="A860">
        <v>10005817</v>
      </c>
      <c r="B860">
        <v>28661809</v>
      </c>
      <c r="C860">
        <v>25</v>
      </c>
      <c r="D860" s="1" t="s">
        <v>380</v>
      </c>
      <c r="E860">
        <v>10</v>
      </c>
    </row>
    <row r="861" spans="1:5" x14ac:dyDescent="0.2">
      <c r="A861">
        <v>10005817</v>
      </c>
      <c r="B861">
        <v>28661809</v>
      </c>
      <c r="C861">
        <v>3</v>
      </c>
      <c r="D861" s="1" t="s">
        <v>561</v>
      </c>
      <c r="E861">
        <v>10</v>
      </c>
    </row>
    <row r="862" spans="1:5" x14ac:dyDescent="0.2">
      <c r="A862">
        <v>10005817</v>
      </c>
      <c r="B862">
        <v>20626031</v>
      </c>
      <c r="C862">
        <v>9</v>
      </c>
      <c r="D862" s="1" t="s">
        <v>252</v>
      </c>
      <c r="E862">
        <v>9</v>
      </c>
    </row>
    <row r="863" spans="1:5" x14ac:dyDescent="0.2">
      <c r="A863">
        <v>10005817</v>
      </c>
      <c r="B863">
        <v>20626031</v>
      </c>
      <c r="C863">
        <v>18</v>
      </c>
      <c r="D863" s="1" t="s">
        <v>318</v>
      </c>
      <c r="E863">
        <v>9</v>
      </c>
    </row>
    <row r="864" spans="1:5" x14ac:dyDescent="0.2">
      <c r="A864">
        <v>10005817</v>
      </c>
      <c r="B864">
        <v>20626031</v>
      </c>
      <c r="C864">
        <v>4</v>
      </c>
      <c r="D864" s="1" t="s">
        <v>743</v>
      </c>
      <c r="E864">
        <v>9</v>
      </c>
    </row>
    <row r="865" spans="1:5" x14ac:dyDescent="0.2">
      <c r="A865">
        <v>10005817</v>
      </c>
      <c r="B865">
        <v>20626031</v>
      </c>
      <c r="C865">
        <v>11</v>
      </c>
      <c r="D865" s="1" t="s">
        <v>466</v>
      </c>
      <c r="E865">
        <v>9</v>
      </c>
    </row>
    <row r="866" spans="1:5" x14ac:dyDescent="0.2">
      <c r="A866">
        <v>10005817</v>
      </c>
      <c r="B866">
        <v>20626031</v>
      </c>
      <c r="C866">
        <v>23</v>
      </c>
      <c r="D866" s="1" t="s">
        <v>744</v>
      </c>
      <c r="E866">
        <v>9</v>
      </c>
    </row>
    <row r="867" spans="1:5" x14ac:dyDescent="0.2">
      <c r="A867">
        <v>10005817</v>
      </c>
      <c r="B867">
        <v>20626031</v>
      </c>
      <c r="C867">
        <v>16</v>
      </c>
      <c r="D867" s="1" t="s">
        <v>654</v>
      </c>
      <c r="E867">
        <v>9</v>
      </c>
    </row>
    <row r="868" spans="1:5" x14ac:dyDescent="0.2">
      <c r="A868">
        <v>10005817</v>
      </c>
      <c r="B868">
        <v>20626031</v>
      </c>
      <c r="C868">
        <v>5</v>
      </c>
      <c r="D868" s="1" t="s">
        <v>409</v>
      </c>
      <c r="E868">
        <v>9</v>
      </c>
    </row>
    <row r="869" spans="1:5" x14ac:dyDescent="0.2">
      <c r="A869">
        <v>10005817</v>
      </c>
      <c r="B869">
        <v>20626031</v>
      </c>
      <c r="C869">
        <v>14</v>
      </c>
      <c r="D869" s="1" t="s">
        <v>296</v>
      </c>
      <c r="E869">
        <v>9</v>
      </c>
    </row>
    <row r="870" spans="1:5" x14ac:dyDescent="0.2">
      <c r="A870">
        <v>10005817</v>
      </c>
      <c r="B870">
        <v>20626031</v>
      </c>
      <c r="C870">
        <v>24</v>
      </c>
      <c r="D870" s="1" t="s">
        <v>275</v>
      </c>
      <c r="E870">
        <v>9</v>
      </c>
    </row>
    <row r="871" spans="1:5" x14ac:dyDescent="0.2">
      <c r="A871">
        <v>10005817</v>
      </c>
      <c r="B871">
        <v>20626031</v>
      </c>
      <c r="C871">
        <v>17</v>
      </c>
      <c r="D871" s="1" t="s">
        <v>745</v>
      </c>
      <c r="E871">
        <v>9</v>
      </c>
    </row>
    <row r="872" spans="1:5" x14ac:dyDescent="0.2">
      <c r="A872">
        <v>10005817</v>
      </c>
      <c r="B872">
        <v>20626031</v>
      </c>
      <c r="C872">
        <v>13</v>
      </c>
      <c r="D872" s="1" t="s">
        <v>746</v>
      </c>
      <c r="E872">
        <v>9</v>
      </c>
    </row>
    <row r="873" spans="1:5" x14ac:dyDescent="0.2">
      <c r="A873">
        <v>10005817</v>
      </c>
      <c r="B873">
        <v>20626031</v>
      </c>
      <c r="C873">
        <v>1</v>
      </c>
      <c r="D873" s="1" t="s">
        <v>458</v>
      </c>
      <c r="E873">
        <v>9</v>
      </c>
    </row>
    <row r="874" spans="1:5" x14ac:dyDescent="0.2">
      <c r="A874">
        <v>10005817</v>
      </c>
      <c r="B874">
        <v>20626031</v>
      </c>
      <c r="C874">
        <v>26</v>
      </c>
      <c r="D874" s="1" t="s">
        <v>272</v>
      </c>
      <c r="E874">
        <v>9</v>
      </c>
    </row>
    <row r="875" spans="1:5" x14ac:dyDescent="0.2">
      <c r="A875">
        <v>10005817</v>
      </c>
      <c r="B875">
        <v>20626031</v>
      </c>
      <c r="C875">
        <v>3</v>
      </c>
      <c r="D875" s="1" t="s">
        <v>320</v>
      </c>
      <c r="E875">
        <v>9</v>
      </c>
    </row>
    <row r="876" spans="1:5" x14ac:dyDescent="0.2">
      <c r="A876">
        <v>10005817</v>
      </c>
      <c r="B876">
        <v>20626031</v>
      </c>
      <c r="C876">
        <v>6</v>
      </c>
      <c r="D876" s="1" t="s">
        <v>384</v>
      </c>
      <c r="E876">
        <v>9</v>
      </c>
    </row>
    <row r="877" spans="1:5" x14ac:dyDescent="0.2">
      <c r="A877">
        <v>10005817</v>
      </c>
      <c r="B877">
        <v>20626031</v>
      </c>
      <c r="C877">
        <v>15</v>
      </c>
      <c r="D877" s="1" t="s">
        <v>747</v>
      </c>
      <c r="E877">
        <v>9</v>
      </c>
    </row>
    <row r="878" spans="1:5" x14ac:dyDescent="0.2">
      <c r="A878">
        <v>10005817</v>
      </c>
      <c r="B878">
        <v>20626031</v>
      </c>
      <c r="C878">
        <v>2</v>
      </c>
      <c r="D878" s="1" t="s">
        <v>649</v>
      </c>
      <c r="E878">
        <v>9</v>
      </c>
    </row>
    <row r="879" spans="1:5" x14ac:dyDescent="0.2">
      <c r="A879">
        <v>10005817</v>
      </c>
      <c r="B879">
        <v>20626031</v>
      </c>
      <c r="C879">
        <v>7</v>
      </c>
      <c r="D879" s="1" t="s">
        <v>748</v>
      </c>
      <c r="E879">
        <v>9</v>
      </c>
    </row>
    <row r="880" spans="1:5" x14ac:dyDescent="0.2">
      <c r="A880">
        <v>10005817</v>
      </c>
      <c r="B880">
        <v>20626031</v>
      </c>
      <c r="C880">
        <v>8</v>
      </c>
      <c r="D880" s="1" t="s">
        <v>253</v>
      </c>
      <c r="E880">
        <v>9</v>
      </c>
    </row>
    <row r="881" spans="1:5" x14ac:dyDescent="0.2">
      <c r="A881">
        <v>10005817</v>
      </c>
      <c r="B881">
        <v>20626031</v>
      </c>
      <c r="C881">
        <v>10</v>
      </c>
      <c r="D881" s="1" t="s">
        <v>382</v>
      </c>
      <c r="E881">
        <v>9</v>
      </c>
    </row>
    <row r="882" spans="1:5" x14ac:dyDescent="0.2">
      <c r="A882">
        <v>10005817</v>
      </c>
      <c r="B882">
        <v>20626031</v>
      </c>
      <c r="C882">
        <v>20</v>
      </c>
      <c r="D882" s="1" t="s">
        <v>308</v>
      </c>
      <c r="E882">
        <v>9</v>
      </c>
    </row>
    <row r="883" spans="1:5" x14ac:dyDescent="0.2">
      <c r="A883">
        <v>10005817</v>
      </c>
      <c r="B883">
        <v>20626031</v>
      </c>
      <c r="C883">
        <v>21</v>
      </c>
      <c r="D883" s="1" t="s">
        <v>261</v>
      </c>
      <c r="E883">
        <v>9</v>
      </c>
    </row>
    <row r="884" spans="1:5" x14ac:dyDescent="0.2">
      <c r="A884">
        <v>10005817</v>
      </c>
      <c r="B884">
        <v>20626031</v>
      </c>
      <c r="C884">
        <v>12</v>
      </c>
      <c r="D884" s="1" t="s">
        <v>660</v>
      </c>
      <c r="E884">
        <v>9</v>
      </c>
    </row>
    <row r="885" spans="1:5" x14ac:dyDescent="0.2">
      <c r="A885">
        <v>10005817</v>
      </c>
      <c r="B885">
        <v>20626031</v>
      </c>
      <c r="C885">
        <v>25</v>
      </c>
      <c r="D885" s="1" t="s">
        <v>539</v>
      </c>
      <c r="E885">
        <v>9</v>
      </c>
    </row>
    <row r="886" spans="1:5" x14ac:dyDescent="0.2">
      <c r="A886">
        <v>10005817</v>
      </c>
      <c r="B886">
        <v>20626031</v>
      </c>
      <c r="C886">
        <v>22</v>
      </c>
      <c r="D886" s="1" t="s">
        <v>749</v>
      </c>
      <c r="E886">
        <v>9</v>
      </c>
    </row>
    <row r="887" spans="1:5" x14ac:dyDescent="0.2">
      <c r="A887">
        <v>10005817</v>
      </c>
      <c r="B887">
        <v>20626031</v>
      </c>
      <c r="C887">
        <v>19</v>
      </c>
      <c r="D887" s="1" t="s">
        <v>750</v>
      </c>
      <c r="E887">
        <v>9</v>
      </c>
    </row>
    <row r="888" spans="1:5" x14ac:dyDescent="0.2">
      <c r="A888">
        <v>10002495</v>
      </c>
      <c r="B888">
        <v>24982426</v>
      </c>
      <c r="C888">
        <v>17</v>
      </c>
      <c r="D888" s="1" t="s">
        <v>751</v>
      </c>
      <c r="E888">
        <v>10</v>
      </c>
    </row>
    <row r="889" spans="1:5" x14ac:dyDescent="0.2">
      <c r="A889">
        <v>10002495</v>
      </c>
      <c r="B889">
        <v>24982426</v>
      </c>
      <c r="C889">
        <v>6</v>
      </c>
      <c r="D889" s="1" t="s">
        <v>423</v>
      </c>
      <c r="E889">
        <v>10</v>
      </c>
    </row>
    <row r="890" spans="1:5" x14ac:dyDescent="0.2">
      <c r="A890">
        <v>10002495</v>
      </c>
      <c r="B890">
        <v>24982426</v>
      </c>
      <c r="C890">
        <v>16</v>
      </c>
      <c r="D890" s="1" t="s">
        <v>446</v>
      </c>
      <c r="E890">
        <v>10</v>
      </c>
    </row>
    <row r="891" spans="1:5" x14ac:dyDescent="0.2">
      <c r="A891">
        <v>10002495</v>
      </c>
      <c r="B891">
        <v>24982426</v>
      </c>
      <c r="C891">
        <v>15</v>
      </c>
      <c r="D891" s="1" t="s">
        <v>752</v>
      </c>
      <c r="E891">
        <v>10</v>
      </c>
    </row>
    <row r="892" spans="1:5" x14ac:dyDescent="0.2">
      <c r="A892">
        <v>10002495</v>
      </c>
      <c r="B892">
        <v>24982426</v>
      </c>
      <c r="C892">
        <v>1</v>
      </c>
      <c r="D892" s="1" t="s">
        <v>520</v>
      </c>
      <c r="E892">
        <v>10</v>
      </c>
    </row>
    <row r="893" spans="1:5" x14ac:dyDescent="0.2">
      <c r="A893">
        <v>10002495</v>
      </c>
      <c r="B893">
        <v>24982426</v>
      </c>
      <c r="C893">
        <v>5</v>
      </c>
      <c r="D893" s="1" t="s">
        <v>753</v>
      </c>
      <c r="E893">
        <v>10</v>
      </c>
    </row>
    <row r="894" spans="1:5" x14ac:dyDescent="0.2">
      <c r="A894">
        <v>10002495</v>
      </c>
      <c r="B894">
        <v>24982426</v>
      </c>
      <c r="C894">
        <v>20</v>
      </c>
      <c r="D894" s="1" t="s">
        <v>522</v>
      </c>
      <c r="E894">
        <v>10</v>
      </c>
    </row>
    <row r="895" spans="1:5" x14ac:dyDescent="0.2">
      <c r="A895">
        <v>10002495</v>
      </c>
      <c r="B895">
        <v>24982426</v>
      </c>
      <c r="C895">
        <v>26</v>
      </c>
      <c r="D895" s="1" t="s">
        <v>438</v>
      </c>
      <c r="E895">
        <v>10</v>
      </c>
    </row>
    <row r="896" spans="1:5" x14ac:dyDescent="0.2">
      <c r="A896">
        <v>10002495</v>
      </c>
      <c r="B896">
        <v>24982426</v>
      </c>
      <c r="C896">
        <v>10</v>
      </c>
      <c r="D896" s="1" t="s">
        <v>754</v>
      </c>
      <c r="E896">
        <v>10</v>
      </c>
    </row>
    <row r="897" spans="1:5" x14ac:dyDescent="0.2">
      <c r="A897">
        <v>10002495</v>
      </c>
      <c r="B897">
        <v>24982426</v>
      </c>
      <c r="C897">
        <v>11</v>
      </c>
      <c r="D897" s="1" t="s">
        <v>755</v>
      </c>
      <c r="E897">
        <v>10</v>
      </c>
    </row>
    <row r="898" spans="1:5" x14ac:dyDescent="0.2">
      <c r="A898">
        <v>10002495</v>
      </c>
      <c r="B898">
        <v>24982426</v>
      </c>
      <c r="C898">
        <v>3</v>
      </c>
      <c r="D898" s="1" t="s">
        <v>756</v>
      </c>
      <c r="E898">
        <v>10</v>
      </c>
    </row>
    <row r="899" spans="1:5" x14ac:dyDescent="0.2">
      <c r="A899">
        <v>10002495</v>
      </c>
      <c r="B899">
        <v>24982426</v>
      </c>
      <c r="C899">
        <v>12</v>
      </c>
      <c r="D899" s="1" t="s">
        <v>379</v>
      </c>
      <c r="E899">
        <v>10</v>
      </c>
    </row>
    <row r="900" spans="1:5" x14ac:dyDescent="0.2">
      <c r="A900">
        <v>10002495</v>
      </c>
      <c r="B900">
        <v>24982426</v>
      </c>
      <c r="C900">
        <v>2</v>
      </c>
      <c r="D900" s="1" t="s">
        <v>757</v>
      </c>
      <c r="E900">
        <v>10</v>
      </c>
    </row>
    <row r="901" spans="1:5" x14ac:dyDescent="0.2">
      <c r="A901">
        <v>10002495</v>
      </c>
      <c r="B901">
        <v>24982426</v>
      </c>
      <c r="C901">
        <v>23</v>
      </c>
      <c r="D901" s="1" t="s">
        <v>430</v>
      </c>
      <c r="E901">
        <v>10</v>
      </c>
    </row>
    <row r="902" spans="1:5" x14ac:dyDescent="0.2">
      <c r="A902">
        <v>10002495</v>
      </c>
      <c r="B902">
        <v>24982426</v>
      </c>
      <c r="C902">
        <v>25</v>
      </c>
      <c r="D902" s="1" t="s">
        <v>736</v>
      </c>
      <c r="E902">
        <v>10</v>
      </c>
    </row>
    <row r="903" spans="1:5" x14ac:dyDescent="0.2">
      <c r="A903">
        <v>10002495</v>
      </c>
      <c r="B903">
        <v>24982426</v>
      </c>
      <c r="C903">
        <v>9</v>
      </c>
      <c r="D903" s="1" t="s">
        <v>758</v>
      </c>
      <c r="E903">
        <v>10</v>
      </c>
    </row>
    <row r="904" spans="1:5" x14ac:dyDescent="0.2">
      <c r="A904">
        <v>10002495</v>
      </c>
      <c r="B904">
        <v>24982426</v>
      </c>
      <c r="C904">
        <v>8</v>
      </c>
      <c r="D904" s="1" t="s">
        <v>335</v>
      </c>
      <c r="E904">
        <v>10</v>
      </c>
    </row>
    <row r="905" spans="1:5" x14ac:dyDescent="0.2">
      <c r="A905">
        <v>10002495</v>
      </c>
      <c r="B905">
        <v>24982426</v>
      </c>
      <c r="C905">
        <v>18</v>
      </c>
      <c r="D905" s="1" t="s">
        <v>380</v>
      </c>
      <c r="E905">
        <v>10</v>
      </c>
    </row>
    <row r="906" spans="1:5" x14ac:dyDescent="0.2">
      <c r="A906">
        <v>10002495</v>
      </c>
      <c r="B906">
        <v>24982426</v>
      </c>
      <c r="C906">
        <v>13</v>
      </c>
      <c r="D906" s="1" t="s">
        <v>329</v>
      </c>
      <c r="E906">
        <v>10</v>
      </c>
    </row>
    <row r="907" spans="1:5" x14ac:dyDescent="0.2">
      <c r="A907">
        <v>10002495</v>
      </c>
      <c r="B907">
        <v>24982426</v>
      </c>
      <c r="C907">
        <v>7</v>
      </c>
      <c r="D907" s="1" t="s">
        <v>759</v>
      </c>
      <c r="E907">
        <v>10</v>
      </c>
    </row>
    <row r="908" spans="1:5" x14ac:dyDescent="0.2">
      <c r="A908">
        <v>10002495</v>
      </c>
      <c r="B908">
        <v>24982426</v>
      </c>
      <c r="C908">
        <v>14</v>
      </c>
      <c r="D908" s="1" t="s">
        <v>760</v>
      </c>
      <c r="E908">
        <v>10</v>
      </c>
    </row>
    <row r="909" spans="1:5" x14ac:dyDescent="0.2">
      <c r="A909">
        <v>10002495</v>
      </c>
      <c r="B909">
        <v>24982426</v>
      </c>
      <c r="C909">
        <v>19</v>
      </c>
      <c r="D909" s="1" t="s">
        <v>761</v>
      </c>
      <c r="E909">
        <v>10</v>
      </c>
    </row>
    <row r="910" spans="1:5" x14ac:dyDescent="0.2">
      <c r="A910">
        <v>10002495</v>
      </c>
      <c r="B910">
        <v>24982426</v>
      </c>
      <c r="C910">
        <v>24</v>
      </c>
      <c r="D910" s="1" t="s">
        <v>762</v>
      </c>
      <c r="E910">
        <v>10</v>
      </c>
    </row>
    <row r="911" spans="1:5" x14ac:dyDescent="0.2">
      <c r="A911">
        <v>10002495</v>
      </c>
      <c r="B911">
        <v>24982426</v>
      </c>
      <c r="C911">
        <v>21</v>
      </c>
      <c r="D911" s="1" t="s">
        <v>763</v>
      </c>
      <c r="E911">
        <v>10</v>
      </c>
    </row>
    <row r="912" spans="1:5" x14ac:dyDescent="0.2">
      <c r="A912">
        <v>10002495</v>
      </c>
      <c r="B912">
        <v>24982426</v>
      </c>
      <c r="C912">
        <v>22</v>
      </c>
      <c r="D912" s="1" t="s">
        <v>764</v>
      </c>
      <c r="E912">
        <v>10</v>
      </c>
    </row>
    <row r="913" spans="1:5" x14ac:dyDescent="0.2">
      <c r="A913">
        <v>10002495</v>
      </c>
      <c r="B913">
        <v>24982426</v>
      </c>
      <c r="C913">
        <v>4</v>
      </c>
      <c r="D913" s="1" t="s">
        <v>765</v>
      </c>
      <c r="E913">
        <v>10</v>
      </c>
    </row>
    <row r="914" spans="1:5" x14ac:dyDescent="0.2">
      <c r="A914">
        <v>10038081</v>
      </c>
      <c r="B914">
        <v>20755971</v>
      </c>
      <c r="C914">
        <v>12</v>
      </c>
      <c r="D914" s="1" t="s">
        <v>766</v>
      </c>
      <c r="E914">
        <v>9</v>
      </c>
    </row>
    <row r="915" spans="1:5" x14ac:dyDescent="0.2">
      <c r="A915">
        <v>10038081</v>
      </c>
      <c r="B915">
        <v>20755971</v>
      </c>
      <c r="C915">
        <v>13</v>
      </c>
      <c r="D915" s="1" t="s">
        <v>706</v>
      </c>
      <c r="E915">
        <v>9</v>
      </c>
    </row>
    <row r="916" spans="1:5" x14ac:dyDescent="0.2">
      <c r="A916">
        <v>10038081</v>
      </c>
      <c r="B916">
        <v>20755971</v>
      </c>
      <c r="C916">
        <v>18</v>
      </c>
      <c r="D916" s="1" t="s">
        <v>767</v>
      </c>
      <c r="E916">
        <v>9</v>
      </c>
    </row>
    <row r="917" spans="1:5" x14ac:dyDescent="0.2">
      <c r="A917">
        <v>10038081</v>
      </c>
      <c r="B917">
        <v>20755971</v>
      </c>
      <c r="C917">
        <v>30</v>
      </c>
      <c r="D917" s="1" t="s">
        <v>416</v>
      </c>
      <c r="E917">
        <v>9</v>
      </c>
    </row>
    <row r="918" spans="1:5" x14ac:dyDescent="0.2">
      <c r="A918">
        <v>10038081</v>
      </c>
      <c r="B918">
        <v>20755971</v>
      </c>
      <c r="C918">
        <v>35</v>
      </c>
      <c r="D918" s="1" t="s">
        <v>768</v>
      </c>
      <c r="E918">
        <v>9</v>
      </c>
    </row>
    <row r="919" spans="1:5" x14ac:dyDescent="0.2">
      <c r="A919">
        <v>10038081</v>
      </c>
      <c r="B919">
        <v>20755971</v>
      </c>
      <c r="C919">
        <v>2</v>
      </c>
      <c r="D919" s="1" t="s">
        <v>516</v>
      </c>
      <c r="E919">
        <v>9</v>
      </c>
    </row>
    <row r="920" spans="1:5" x14ac:dyDescent="0.2">
      <c r="A920">
        <v>10038081</v>
      </c>
      <c r="B920">
        <v>20755971</v>
      </c>
      <c r="C920">
        <v>4</v>
      </c>
      <c r="D920" s="1" t="s">
        <v>769</v>
      </c>
      <c r="E920">
        <v>9</v>
      </c>
    </row>
    <row r="921" spans="1:5" x14ac:dyDescent="0.2">
      <c r="A921">
        <v>10038081</v>
      </c>
      <c r="B921">
        <v>20755971</v>
      </c>
      <c r="C921">
        <v>22</v>
      </c>
      <c r="D921" s="1" t="s">
        <v>272</v>
      </c>
      <c r="E921">
        <v>9</v>
      </c>
    </row>
    <row r="922" spans="1:5" x14ac:dyDescent="0.2">
      <c r="A922">
        <v>10038081</v>
      </c>
      <c r="B922">
        <v>20755971</v>
      </c>
      <c r="C922">
        <v>19</v>
      </c>
      <c r="D922" s="1" t="s">
        <v>770</v>
      </c>
      <c r="E922">
        <v>9</v>
      </c>
    </row>
    <row r="923" spans="1:5" x14ac:dyDescent="0.2">
      <c r="A923">
        <v>10038081</v>
      </c>
      <c r="B923">
        <v>20755971</v>
      </c>
      <c r="C923">
        <v>26</v>
      </c>
      <c r="D923" s="1" t="s">
        <v>771</v>
      </c>
      <c r="E923">
        <v>9</v>
      </c>
    </row>
    <row r="924" spans="1:5" x14ac:dyDescent="0.2">
      <c r="A924">
        <v>10038081</v>
      </c>
      <c r="B924">
        <v>20755971</v>
      </c>
      <c r="C924">
        <v>32</v>
      </c>
      <c r="D924" s="1" t="s">
        <v>368</v>
      </c>
      <c r="E924">
        <v>9</v>
      </c>
    </row>
    <row r="925" spans="1:5" x14ac:dyDescent="0.2">
      <c r="A925">
        <v>10038081</v>
      </c>
      <c r="B925">
        <v>20755971</v>
      </c>
      <c r="C925">
        <v>5</v>
      </c>
      <c r="D925" s="1" t="s">
        <v>273</v>
      </c>
      <c r="E925">
        <v>9</v>
      </c>
    </row>
    <row r="926" spans="1:5" x14ac:dyDescent="0.2">
      <c r="A926">
        <v>10038081</v>
      </c>
      <c r="B926">
        <v>20755971</v>
      </c>
      <c r="C926">
        <v>16</v>
      </c>
      <c r="D926" s="1" t="s">
        <v>772</v>
      </c>
      <c r="E926">
        <v>9</v>
      </c>
    </row>
    <row r="927" spans="1:5" x14ac:dyDescent="0.2">
      <c r="A927">
        <v>10038081</v>
      </c>
      <c r="B927">
        <v>20755971</v>
      </c>
      <c r="C927">
        <v>11</v>
      </c>
      <c r="D927" s="1" t="s">
        <v>773</v>
      </c>
      <c r="E927">
        <v>9</v>
      </c>
    </row>
    <row r="928" spans="1:5" x14ac:dyDescent="0.2">
      <c r="A928">
        <v>10038081</v>
      </c>
      <c r="B928">
        <v>20755971</v>
      </c>
      <c r="C928">
        <v>8</v>
      </c>
      <c r="D928" s="1" t="s">
        <v>692</v>
      </c>
      <c r="E928">
        <v>9</v>
      </c>
    </row>
    <row r="929" spans="1:5" x14ac:dyDescent="0.2">
      <c r="A929">
        <v>10038081</v>
      </c>
      <c r="B929">
        <v>20755971</v>
      </c>
      <c r="C929">
        <v>31</v>
      </c>
      <c r="D929" s="1" t="s">
        <v>774</v>
      </c>
      <c r="E929">
        <v>9</v>
      </c>
    </row>
    <row r="930" spans="1:5" x14ac:dyDescent="0.2">
      <c r="A930">
        <v>10038081</v>
      </c>
      <c r="B930">
        <v>20755971</v>
      </c>
      <c r="C930">
        <v>3</v>
      </c>
      <c r="D930" s="1" t="s">
        <v>548</v>
      </c>
      <c r="E930">
        <v>9</v>
      </c>
    </row>
    <row r="931" spans="1:5" x14ac:dyDescent="0.2">
      <c r="A931">
        <v>10038081</v>
      </c>
      <c r="B931">
        <v>20755971</v>
      </c>
      <c r="C931">
        <v>38</v>
      </c>
      <c r="D931" s="1" t="s">
        <v>775</v>
      </c>
      <c r="E931">
        <v>9</v>
      </c>
    </row>
    <row r="932" spans="1:5" x14ac:dyDescent="0.2">
      <c r="A932">
        <v>10038081</v>
      </c>
      <c r="B932">
        <v>20755971</v>
      </c>
      <c r="C932">
        <v>7</v>
      </c>
      <c r="D932" s="1" t="s">
        <v>776</v>
      </c>
      <c r="E932">
        <v>9</v>
      </c>
    </row>
    <row r="933" spans="1:5" x14ac:dyDescent="0.2">
      <c r="A933">
        <v>10038081</v>
      </c>
      <c r="B933">
        <v>20755971</v>
      </c>
      <c r="C933">
        <v>28</v>
      </c>
      <c r="D933" s="1" t="s">
        <v>567</v>
      </c>
      <c r="E933">
        <v>9</v>
      </c>
    </row>
    <row r="934" spans="1:5" x14ac:dyDescent="0.2">
      <c r="A934">
        <v>10038081</v>
      </c>
      <c r="B934">
        <v>20755971</v>
      </c>
      <c r="C934">
        <v>37</v>
      </c>
      <c r="D934" s="1" t="s">
        <v>538</v>
      </c>
      <c r="E934">
        <v>9</v>
      </c>
    </row>
    <row r="935" spans="1:5" x14ac:dyDescent="0.2">
      <c r="A935">
        <v>10038081</v>
      </c>
      <c r="B935">
        <v>20755971</v>
      </c>
      <c r="C935">
        <v>27</v>
      </c>
      <c r="D935" s="1" t="s">
        <v>777</v>
      </c>
      <c r="E935">
        <v>9</v>
      </c>
    </row>
    <row r="936" spans="1:5" x14ac:dyDescent="0.2">
      <c r="A936">
        <v>10038081</v>
      </c>
      <c r="B936">
        <v>20755971</v>
      </c>
      <c r="C936">
        <v>9</v>
      </c>
      <c r="D936" s="1" t="s">
        <v>381</v>
      </c>
      <c r="E936">
        <v>9</v>
      </c>
    </row>
    <row r="937" spans="1:5" x14ac:dyDescent="0.2">
      <c r="A937">
        <v>10038081</v>
      </c>
      <c r="B937">
        <v>20755971</v>
      </c>
      <c r="C937">
        <v>29</v>
      </c>
      <c r="D937" s="1" t="s">
        <v>413</v>
      </c>
      <c r="E937">
        <v>9</v>
      </c>
    </row>
    <row r="938" spans="1:5" x14ac:dyDescent="0.2">
      <c r="A938">
        <v>10038081</v>
      </c>
      <c r="B938">
        <v>20755971</v>
      </c>
      <c r="C938">
        <v>33</v>
      </c>
      <c r="D938" s="1" t="s">
        <v>750</v>
      </c>
      <c r="E938">
        <v>9</v>
      </c>
    </row>
    <row r="939" spans="1:5" x14ac:dyDescent="0.2">
      <c r="A939">
        <v>10038081</v>
      </c>
      <c r="B939">
        <v>20755971</v>
      </c>
      <c r="C939">
        <v>1</v>
      </c>
      <c r="D939" s="1" t="s">
        <v>778</v>
      </c>
      <c r="E939">
        <v>9</v>
      </c>
    </row>
    <row r="940" spans="1:5" x14ac:dyDescent="0.2">
      <c r="A940">
        <v>10038081</v>
      </c>
      <c r="B940">
        <v>20755971</v>
      </c>
      <c r="C940">
        <v>10</v>
      </c>
      <c r="D940" s="1" t="s">
        <v>779</v>
      </c>
      <c r="E940">
        <v>9</v>
      </c>
    </row>
    <row r="941" spans="1:5" x14ac:dyDescent="0.2">
      <c r="A941">
        <v>10038081</v>
      </c>
      <c r="B941">
        <v>20755971</v>
      </c>
      <c r="C941">
        <v>34</v>
      </c>
      <c r="D941" s="1" t="s">
        <v>780</v>
      </c>
      <c r="E941">
        <v>9</v>
      </c>
    </row>
    <row r="942" spans="1:5" x14ac:dyDescent="0.2">
      <c r="A942">
        <v>10038081</v>
      </c>
      <c r="B942">
        <v>20755971</v>
      </c>
      <c r="C942">
        <v>21</v>
      </c>
      <c r="D942" s="1" t="s">
        <v>668</v>
      </c>
      <c r="E942">
        <v>9</v>
      </c>
    </row>
    <row r="943" spans="1:5" x14ac:dyDescent="0.2">
      <c r="A943">
        <v>10038081</v>
      </c>
      <c r="B943">
        <v>20755971</v>
      </c>
      <c r="C943">
        <v>24</v>
      </c>
      <c r="D943" s="1" t="s">
        <v>256</v>
      </c>
      <c r="E943">
        <v>9</v>
      </c>
    </row>
    <row r="944" spans="1:5" x14ac:dyDescent="0.2">
      <c r="A944">
        <v>10038081</v>
      </c>
      <c r="B944">
        <v>20755971</v>
      </c>
      <c r="C944">
        <v>23</v>
      </c>
      <c r="D944" s="1" t="s">
        <v>259</v>
      </c>
      <c r="E944">
        <v>9</v>
      </c>
    </row>
    <row r="945" spans="1:5" x14ac:dyDescent="0.2">
      <c r="A945">
        <v>10038081</v>
      </c>
      <c r="B945">
        <v>20755971</v>
      </c>
      <c r="C945">
        <v>6</v>
      </c>
      <c r="D945" s="1" t="s">
        <v>781</v>
      </c>
      <c r="E945">
        <v>9</v>
      </c>
    </row>
    <row r="946" spans="1:5" x14ac:dyDescent="0.2">
      <c r="A946">
        <v>10038081</v>
      </c>
      <c r="B946">
        <v>20755971</v>
      </c>
      <c r="C946">
        <v>36</v>
      </c>
      <c r="D946" s="1" t="s">
        <v>782</v>
      </c>
      <c r="E946">
        <v>9</v>
      </c>
    </row>
    <row r="947" spans="1:5" x14ac:dyDescent="0.2">
      <c r="A947">
        <v>10038081</v>
      </c>
      <c r="B947">
        <v>20755971</v>
      </c>
      <c r="C947">
        <v>25</v>
      </c>
      <c r="D947" s="1" t="s">
        <v>783</v>
      </c>
      <c r="E947">
        <v>9</v>
      </c>
    </row>
    <row r="948" spans="1:5" x14ac:dyDescent="0.2">
      <c r="A948">
        <v>10038081</v>
      </c>
      <c r="B948">
        <v>20755971</v>
      </c>
      <c r="C948">
        <v>14</v>
      </c>
      <c r="D948" s="1" t="s">
        <v>462</v>
      </c>
      <c r="E948">
        <v>9</v>
      </c>
    </row>
    <row r="949" spans="1:5" x14ac:dyDescent="0.2">
      <c r="A949">
        <v>10038081</v>
      </c>
      <c r="B949">
        <v>20755971</v>
      </c>
      <c r="C949">
        <v>17</v>
      </c>
      <c r="D949" s="1" t="s">
        <v>267</v>
      </c>
      <c r="E949">
        <v>9</v>
      </c>
    </row>
    <row r="950" spans="1:5" x14ac:dyDescent="0.2">
      <c r="A950">
        <v>10038081</v>
      </c>
      <c r="B950">
        <v>20755971</v>
      </c>
      <c r="C950">
        <v>15</v>
      </c>
      <c r="D950" s="1" t="s">
        <v>390</v>
      </c>
      <c r="E950">
        <v>9</v>
      </c>
    </row>
    <row r="951" spans="1:5" x14ac:dyDescent="0.2">
      <c r="A951">
        <v>10038081</v>
      </c>
      <c r="B951">
        <v>20755971</v>
      </c>
      <c r="C951">
        <v>20</v>
      </c>
      <c r="D951" s="1" t="s">
        <v>784</v>
      </c>
      <c r="E951">
        <v>9</v>
      </c>
    </row>
    <row r="952" spans="1:5" x14ac:dyDescent="0.2">
      <c r="A952">
        <v>10023239</v>
      </c>
      <c r="B952">
        <v>29295881</v>
      </c>
      <c r="C952">
        <v>11</v>
      </c>
      <c r="D952" s="1" t="s">
        <v>260</v>
      </c>
      <c r="E952">
        <v>9</v>
      </c>
    </row>
    <row r="953" spans="1:5" x14ac:dyDescent="0.2">
      <c r="A953">
        <v>10023239</v>
      </c>
      <c r="B953">
        <v>29295881</v>
      </c>
      <c r="C953">
        <v>1</v>
      </c>
      <c r="D953" s="1" t="s">
        <v>785</v>
      </c>
      <c r="E953">
        <v>9</v>
      </c>
    </row>
    <row r="954" spans="1:5" x14ac:dyDescent="0.2">
      <c r="A954">
        <v>10023239</v>
      </c>
      <c r="B954">
        <v>29295881</v>
      </c>
      <c r="C954">
        <v>8</v>
      </c>
      <c r="D954" s="1" t="s">
        <v>515</v>
      </c>
      <c r="E954">
        <v>9</v>
      </c>
    </row>
    <row r="955" spans="1:5" x14ac:dyDescent="0.2">
      <c r="A955">
        <v>10023239</v>
      </c>
      <c r="B955">
        <v>29295881</v>
      </c>
      <c r="C955">
        <v>9</v>
      </c>
      <c r="D955" s="1" t="s">
        <v>665</v>
      </c>
      <c r="E955">
        <v>9</v>
      </c>
    </row>
    <row r="956" spans="1:5" x14ac:dyDescent="0.2">
      <c r="A956">
        <v>10023239</v>
      </c>
      <c r="B956">
        <v>29295881</v>
      </c>
      <c r="C956">
        <v>6</v>
      </c>
      <c r="D956" s="1" t="s">
        <v>499</v>
      </c>
      <c r="E956">
        <v>9</v>
      </c>
    </row>
    <row r="957" spans="1:5" x14ac:dyDescent="0.2">
      <c r="A957">
        <v>10023239</v>
      </c>
      <c r="B957">
        <v>29295881</v>
      </c>
      <c r="C957">
        <v>5</v>
      </c>
      <c r="D957" s="1" t="s">
        <v>385</v>
      </c>
      <c r="E957">
        <v>9</v>
      </c>
    </row>
    <row r="958" spans="1:5" x14ac:dyDescent="0.2">
      <c r="A958">
        <v>10023239</v>
      </c>
      <c r="B958">
        <v>29295881</v>
      </c>
      <c r="C958">
        <v>12</v>
      </c>
      <c r="D958" s="1" t="s">
        <v>369</v>
      </c>
      <c r="E958">
        <v>9</v>
      </c>
    </row>
    <row r="959" spans="1:5" x14ac:dyDescent="0.2">
      <c r="A959">
        <v>10023239</v>
      </c>
      <c r="B959">
        <v>29295881</v>
      </c>
      <c r="C959">
        <v>4</v>
      </c>
      <c r="D959" s="1" t="s">
        <v>388</v>
      </c>
      <c r="E959">
        <v>9</v>
      </c>
    </row>
    <row r="960" spans="1:5" x14ac:dyDescent="0.2">
      <c r="A960">
        <v>10023239</v>
      </c>
      <c r="B960">
        <v>29295881</v>
      </c>
      <c r="C960">
        <v>10</v>
      </c>
      <c r="D960" s="1" t="s">
        <v>467</v>
      </c>
      <c r="E960">
        <v>9</v>
      </c>
    </row>
    <row r="961" spans="1:5" x14ac:dyDescent="0.2">
      <c r="A961">
        <v>10023239</v>
      </c>
      <c r="B961">
        <v>29295881</v>
      </c>
      <c r="C961">
        <v>7</v>
      </c>
      <c r="D961" s="1" t="s">
        <v>259</v>
      </c>
      <c r="E961">
        <v>9</v>
      </c>
    </row>
    <row r="962" spans="1:5" x14ac:dyDescent="0.2">
      <c r="A962">
        <v>10023239</v>
      </c>
      <c r="B962">
        <v>29295881</v>
      </c>
      <c r="C962">
        <v>2</v>
      </c>
      <c r="D962" s="1" t="s">
        <v>404</v>
      </c>
      <c r="E962">
        <v>9</v>
      </c>
    </row>
    <row r="963" spans="1:5" x14ac:dyDescent="0.2">
      <c r="A963">
        <v>10023239</v>
      </c>
      <c r="B963">
        <v>29295881</v>
      </c>
      <c r="C963">
        <v>3</v>
      </c>
      <c r="D963" s="1" t="s">
        <v>786</v>
      </c>
      <c r="E963">
        <v>9</v>
      </c>
    </row>
    <row r="964" spans="1:5" x14ac:dyDescent="0.2">
      <c r="A964">
        <v>10023239</v>
      </c>
      <c r="B964">
        <v>28984460</v>
      </c>
      <c r="C964">
        <v>7</v>
      </c>
      <c r="D964" s="1" t="s">
        <v>361</v>
      </c>
      <c r="E964">
        <v>10</v>
      </c>
    </row>
    <row r="965" spans="1:5" x14ac:dyDescent="0.2">
      <c r="A965">
        <v>10023239</v>
      </c>
      <c r="B965">
        <v>28984460</v>
      </c>
      <c r="C965">
        <v>4</v>
      </c>
      <c r="D965" s="1" t="s">
        <v>560</v>
      </c>
      <c r="E965">
        <v>10</v>
      </c>
    </row>
    <row r="966" spans="1:5" x14ac:dyDescent="0.2">
      <c r="A966">
        <v>10023239</v>
      </c>
      <c r="B966">
        <v>28984460</v>
      </c>
      <c r="C966">
        <v>6</v>
      </c>
      <c r="D966" s="1" t="s">
        <v>787</v>
      </c>
      <c r="E966">
        <v>10</v>
      </c>
    </row>
    <row r="967" spans="1:5" x14ac:dyDescent="0.2">
      <c r="A967">
        <v>10023239</v>
      </c>
      <c r="B967">
        <v>28984460</v>
      </c>
      <c r="C967">
        <v>5</v>
      </c>
      <c r="D967" s="1" t="s">
        <v>429</v>
      </c>
      <c r="E967">
        <v>10</v>
      </c>
    </row>
    <row r="968" spans="1:5" x14ac:dyDescent="0.2">
      <c r="A968">
        <v>10023239</v>
      </c>
      <c r="B968">
        <v>28984460</v>
      </c>
      <c r="C968">
        <v>2</v>
      </c>
      <c r="D968" s="1" t="s">
        <v>788</v>
      </c>
      <c r="E968">
        <v>10</v>
      </c>
    </row>
    <row r="969" spans="1:5" x14ac:dyDescent="0.2">
      <c r="A969">
        <v>10023239</v>
      </c>
      <c r="B969">
        <v>28984460</v>
      </c>
      <c r="C969">
        <v>1</v>
      </c>
      <c r="D969" s="1" t="s">
        <v>423</v>
      </c>
      <c r="E969">
        <v>10</v>
      </c>
    </row>
    <row r="970" spans="1:5" x14ac:dyDescent="0.2">
      <c r="A970">
        <v>10023239</v>
      </c>
      <c r="B970">
        <v>28984460</v>
      </c>
      <c r="C970">
        <v>8</v>
      </c>
      <c r="D970" s="1" t="s">
        <v>620</v>
      </c>
      <c r="E970">
        <v>10</v>
      </c>
    </row>
    <row r="971" spans="1:5" x14ac:dyDescent="0.2">
      <c r="A971">
        <v>10023239</v>
      </c>
      <c r="B971">
        <v>28984460</v>
      </c>
      <c r="C971">
        <v>3</v>
      </c>
      <c r="D971" s="1" t="s">
        <v>789</v>
      </c>
      <c r="E971">
        <v>10</v>
      </c>
    </row>
    <row r="972" spans="1:5" x14ac:dyDescent="0.2">
      <c r="A972">
        <v>10023239</v>
      </c>
      <c r="B972">
        <v>21759936</v>
      </c>
      <c r="C972">
        <v>8</v>
      </c>
      <c r="D972" s="1" t="s">
        <v>560</v>
      </c>
      <c r="E972">
        <v>10</v>
      </c>
    </row>
    <row r="973" spans="1:5" x14ac:dyDescent="0.2">
      <c r="A973">
        <v>10023239</v>
      </c>
      <c r="B973">
        <v>21759936</v>
      </c>
      <c r="C973">
        <v>10</v>
      </c>
      <c r="D973" s="1" t="s">
        <v>478</v>
      </c>
      <c r="E973">
        <v>10</v>
      </c>
    </row>
    <row r="974" spans="1:5" x14ac:dyDescent="0.2">
      <c r="A974">
        <v>10023239</v>
      </c>
      <c r="B974">
        <v>21759936</v>
      </c>
      <c r="C974">
        <v>1</v>
      </c>
      <c r="D974" s="1" t="s">
        <v>790</v>
      </c>
      <c r="E974">
        <v>10</v>
      </c>
    </row>
    <row r="975" spans="1:5" x14ac:dyDescent="0.2">
      <c r="A975">
        <v>10023239</v>
      </c>
      <c r="B975">
        <v>21759936</v>
      </c>
      <c r="C975">
        <v>9</v>
      </c>
      <c r="D975" s="1" t="s">
        <v>787</v>
      </c>
      <c r="E975">
        <v>10</v>
      </c>
    </row>
    <row r="976" spans="1:5" x14ac:dyDescent="0.2">
      <c r="A976">
        <v>10023239</v>
      </c>
      <c r="B976">
        <v>21759936</v>
      </c>
      <c r="C976">
        <v>7</v>
      </c>
      <c r="D976" s="1" t="s">
        <v>361</v>
      </c>
      <c r="E976">
        <v>10</v>
      </c>
    </row>
    <row r="977" spans="1:5" x14ac:dyDescent="0.2">
      <c r="A977">
        <v>10023239</v>
      </c>
      <c r="B977">
        <v>21759936</v>
      </c>
      <c r="C977">
        <v>4</v>
      </c>
      <c r="D977" s="1" t="s">
        <v>791</v>
      </c>
      <c r="E977">
        <v>10</v>
      </c>
    </row>
    <row r="978" spans="1:5" x14ac:dyDescent="0.2">
      <c r="A978">
        <v>10023239</v>
      </c>
      <c r="B978">
        <v>21759936</v>
      </c>
      <c r="C978">
        <v>6</v>
      </c>
      <c r="D978" s="1" t="s">
        <v>620</v>
      </c>
      <c r="E978">
        <v>10</v>
      </c>
    </row>
    <row r="979" spans="1:5" x14ac:dyDescent="0.2">
      <c r="A979">
        <v>10023239</v>
      </c>
      <c r="B979">
        <v>21759936</v>
      </c>
      <c r="C979">
        <v>13</v>
      </c>
      <c r="D979" s="1" t="s">
        <v>789</v>
      </c>
      <c r="E979">
        <v>10</v>
      </c>
    </row>
    <row r="980" spans="1:5" x14ac:dyDescent="0.2">
      <c r="A980">
        <v>10023239</v>
      </c>
      <c r="B980">
        <v>21759936</v>
      </c>
      <c r="C980">
        <v>11</v>
      </c>
      <c r="D980" s="1" t="s">
        <v>792</v>
      </c>
      <c r="E980">
        <v>10</v>
      </c>
    </row>
    <row r="981" spans="1:5" x14ac:dyDescent="0.2">
      <c r="A981">
        <v>10023239</v>
      </c>
      <c r="B981">
        <v>21759936</v>
      </c>
      <c r="C981">
        <v>3</v>
      </c>
      <c r="D981" s="1" t="s">
        <v>793</v>
      </c>
      <c r="E981">
        <v>10</v>
      </c>
    </row>
    <row r="982" spans="1:5" x14ac:dyDescent="0.2">
      <c r="A982">
        <v>10023239</v>
      </c>
      <c r="B982">
        <v>21759936</v>
      </c>
      <c r="C982">
        <v>12</v>
      </c>
      <c r="D982" s="1" t="s">
        <v>794</v>
      </c>
      <c r="E982">
        <v>10</v>
      </c>
    </row>
    <row r="983" spans="1:5" x14ac:dyDescent="0.2">
      <c r="A983">
        <v>10023239</v>
      </c>
      <c r="B983">
        <v>21759936</v>
      </c>
      <c r="C983">
        <v>14</v>
      </c>
      <c r="D983" s="1" t="s">
        <v>428</v>
      </c>
      <c r="E983">
        <v>10</v>
      </c>
    </row>
    <row r="984" spans="1:5" x14ac:dyDescent="0.2">
      <c r="A984">
        <v>10023239</v>
      </c>
      <c r="B984">
        <v>21759936</v>
      </c>
      <c r="C984">
        <v>5</v>
      </c>
      <c r="D984" s="1" t="s">
        <v>423</v>
      </c>
      <c r="E984">
        <v>10</v>
      </c>
    </row>
    <row r="985" spans="1:5" x14ac:dyDescent="0.2">
      <c r="A985">
        <v>10023239</v>
      </c>
      <c r="B985">
        <v>21759936</v>
      </c>
      <c r="C985">
        <v>15</v>
      </c>
      <c r="D985" s="1" t="s">
        <v>591</v>
      </c>
      <c r="E985">
        <v>10</v>
      </c>
    </row>
    <row r="986" spans="1:5" x14ac:dyDescent="0.2">
      <c r="A986">
        <v>10023239</v>
      </c>
      <c r="B986">
        <v>21759936</v>
      </c>
      <c r="C986">
        <v>2</v>
      </c>
      <c r="D986" s="1" t="s">
        <v>795</v>
      </c>
      <c r="E986">
        <v>10</v>
      </c>
    </row>
    <row r="987" spans="1:5" x14ac:dyDescent="0.2">
      <c r="A987">
        <v>10020944</v>
      </c>
      <c r="B987">
        <v>29974575</v>
      </c>
      <c r="C987">
        <v>16</v>
      </c>
      <c r="D987" s="1" t="s">
        <v>796</v>
      </c>
      <c r="E987">
        <v>9</v>
      </c>
    </row>
    <row r="988" spans="1:5" x14ac:dyDescent="0.2">
      <c r="A988">
        <v>10020944</v>
      </c>
      <c r="B988">
        <v>29974575</v>
      </c>
      <c r="C988">
        <v>18</v>
      </c>
      <c r="D988" s="1" t="s">
        <v>797</v>
      </c>
      <c r="E988">
        <v>9</v>
      </c>
    </row>
    <row r="989" spans="1:5" x14ac:dyDescent="0.2">
      <c r="A989">
        <v>10020944</v>
      </c>
      <c r="B989">
        <v>29974575</v>
      </c>
      <c r="C989">
        <v>7</v>
      </c>
      <c r="D989" s="1" t="s">
        <v>474</v>
      </c>
      <c r="E989">
        <v>9</v>
      </c>
    </row>
    <row r="990" spans="1:5" x14ac:dyDescent="0.2">
      <c r="A990">
        <v>10020944</v>
      </c>
      <c r="B990">
        <v>29974575</v>
      </c>
      <c r="C990">
        <v>26</v>
      </c>
      <c r="D990" s="1" t="s">
        <v>355</v>
      </c>
      <c r="E990">
        <v>9</v>
      </c>
    </row>
    <row r="991" spans="1:5" x14ac:dyDescent="0.2">
      <c r="A991">
        <v>10020944</v>
      </c>
      <c r="B991">
        <v>29974575</v>
      </c>
      <c r="C991">
        <v>1</v>
      </c>
      <c r="D991" s="1" t="s">
        <v>798</v>
      </c>
      <c r="E991">
        <v>9</v>
      </c>
    </row>
    <row r="992" spans="1:5" x14ac:dyDescent="0.2">
      <c r="A992">
        <v>10020944</v>
      </c>
      <c r="B992">
        <v>29974575</v>
      </c>
      <c r="C992">
        <v>27</v>
      </c>
      <c r="D992" s="1" t="s">
        <v>266</v>
      </c>
      <c r="E992">
        <v>9</v>
      </c>
    </row>
    <row r="993" spans="1:5" x14ac:dyDescent="0.2">
      <c r="A993">
        <v>10020944</v>
      </c>
      <c r="B993">
        <v>29974575</v>
      </c>
      <c r="C993">
        <v>19</v>
      </c>
      <c r="D993" s="1" t="s">
        <v>799</v>
      </c>
      <c r="E993">
        <v>9</v>
      </c>
    </row>
    <row r="994" spans="1:5" x14ac:dyDescent="0.2">
      <c r="A994">
        <v>10020944</v>
      </c>
      <c r="B994">
        <v>29974575</v>
      </c>
      <c r="C994">
        <v>28</v>
      </c>
      <c r="D994" s="1" t="s">
        <v>800</v>
      </c>
      <c r="E994">
        <v>9</v>
      </c>
    </row>
    <row r="995" spans="1:5" x14ac:dyDescent="0.2">
      <c r="A995">
        <v>10020944</v>
      </c>
      <c r="B995">
        <v>29974575</v>
      </c>
      <c r="C995">
        <v>32</v>
      </c>
      <c r="D995" s="1" t="s">
        <v>359</v>
      </c>
      <c r="E995">
        <v>9</v>
      </c>
    </row>
    <row r="996" spans="1:5" x14ac:dyDescent="0.2">
      <c r="A996">
        <v>10020944</v>
      </c>
      <c r="B996">
        <v>29974575</v>
      </c>
      <c r="C996">
        <v>23</v>
      </c>
      <c r="D996" s="1" t="s">
        <v>388</v>
      </c>
      <c r="E996">
        <v>9</v>
      </c>
    </row>
    <row r="997" spans="1:5" x14ac:dyDescent="0.2">
      <c r="A997">
        <v>10020944</v>
      </c>
      <c r="B997">
        <v>29974575</v>
      </c>
      <c r="C997">
        <v>29</v>
      </c>
      <c r="D997" s="1" t="s">
        <v>801</v>
      </c>
      <c r="E997">
        <v>9</v>
      </c>
    </row>
    <row r="998" spans="1:5" x14ac:dyDescent="0.2">
      <c r="A998">
        <v>10020944</v>
      </c>
      <c r="B998">
        <v>29974575</v>
      </c>
      <c r="C998">
        <v>3</v>
      </c>
      <c r="D998" s="1" t="s">
        <v>708</v>
      </c>
      <c r="E998">
        <v>9</v>
      </c>
    </row>
    <row r="999" spans="1:5" x14ac:dyDescent="0.2">
      <c r="A999">
        <v>10020944</v>
      </c>
      <c r="B999">
        <v>29974575</v>
      </c>
      <c r="C999">
        <v>21</v>
      </c>
      <c r="D999" s="1" t="s">
        <v>802</v>
      </c>
      <c r="E999">
        <v>9</v>
      </c>
    </row>
    <row r="1000" spans="1:5" x14ac:dyDescent="0.2">
      <c r="A1000">
        <v>10020944</v>
      </c>
      <c r="B1000">
        <v>29974575</v>
      </c>
      <c r="C1000">
        <v>17</v>
      </c>
      <c r="D1000" s="1" t="s">
        <v>455</v>
      </c>
      <c r="E1000">
        <v>9</v>
      </c>
    </row>
    <row r="1001" spans="1:5" x14ac:dyDescent="0.2">
      <c r="A1001">
        <v>10020944</v>
      </c>
      <c r="B1001">
        <v>29974575</v>
      </c>
      <c r="C1001">
        <v>15</v>
      </c>
      <c r="D1001" s="1" t="s">
        <v>660</v>
      </c>
      <c r="E1001">
        <v>9</v>
      </c>
    </row>
    <row r="1002" spans="1:5" x14ac:dyDescent="0.2">
      <c r="A1002">
        <v>10020944</v>
      </c>
      <c r="B1002">
        <v>29974575</v>
      </c>
      <c r="C1002">
        <v>22</v>
      </c>
      <c r="D1002" s="1" t="s">
        <v>668</v>
      </c>
      <c r="E1002">
        <v>9</v>
      </c>
    </row>
    <row r="1003" spans="1:5" x14ac:dyDescent="0.2">
      <c r="A1003">
        <v>10020944</v>
      </c>
      <c r="B1003">
        <v>29974575</v>
      </c>
      <c r="C1003">
        <v>8</v>
      </c>
      <c r="D1003" s="1" t="s">
        <v>273</v>
      </c>
      <c r="E1003">
        <v>9</v>
      </c>
    </row>
    <row r="1004" spans="1:5" x14ac:dyDescent="0.2">
      <c r="A1004">
        <v>10020944</v>
      </c>
      <c r="B1004">
        <v>29974575</v>
      </c>
      <c r="C1004">
        <v>33</v>
      </c>
      <c r="D1004" s="1" t="s">
        <v>803</v>
      </c>
      <c r="E1004">
        <v>9</v>
      </c>
    </row>
    <row r="1005" spans="1:5" x14ac:dyDescent="0.2">
      <c r="A1005">
        <v>10020944</v>
      </c>
      <c r="B1005">
        <v>29974575</v>
      </c>
      <c r="C1005">
        <v>5</v>
      </c>
      <c r="D1005" s="1" t="s">
        <v>804</v>
      </c>
      <c r="E1005">
        <v>9</v>
      </c>
    </row>
    <row r="1006" spans="1:5" x14ac:dyDescent="0.2">
      <c r="A1006">
        <v>10020944</v>
      </c>
      <c r="B1006">
        <v>29974575</v>
      </c>
      <c r="C1006">
        <v>6</v>
      </c>
      <c r="D1006" s="1" t="s">
        <v>805</v>
      </c>
      <c r="E1006">
        <v>9</v>
      </c>
    </row>
    <row r="1007" spans="1:5" x14ac:dyDescent="0.2">
      <c r="A1007">
        <v>10020944</v>
      </c>
      <c r="B1007">
        <v>29974575</v>
      </c>
      <c r="C1007">
        <v>9</v>
      </c>
      <c r="D1007" s="1" t="s">
        <v>806</v>
      </c>
      <c r="E1007">
        <v>9</v>
      </c>
    </row>
    <row r="1008" spans="1:5" x14ac:dyDescent="0.2">
      <c r="A1008">
        <v>10020944</v>
      </c>
      <c r="B1008">
        <v>29974575</v>
      </c>
      <c r="C1008">
        <v>24</v>
      </c>
      <c r="D1008" s="1" t="s">
        <v>413</v>
      </c>
      <c r="E1008">
        <v>9</v>
      </c>
    </row>
    <row r="1009" spans="1:5" x14ac:dyDescent="0.2">
      <c r="A1009">
        <v>10020944</v>
      </c>
      <c r="B1009">
        <v>29974575</v>
      </c>
      <c r="C1009">
        <v>10</v>
      </c>
      <c r="D1009" s="1" t="s">
        <v>807</v>
      </c>
      <c r="E1009">
        <v>9</v>
      </c>
    </row>
    <row r="1010" spans="1:5" x14ac:dyDescent="0.2">
      <c r="A1010">
        <v>10020944</v>
      </c>
      <c r="B1010">
        <v>29974575</v>
      </c>
      <c r="C1010">
        <v>12</v>
      </c>
      <c r="D1010" s="1" t="s">
        <v>307</v>
      </c>
      <c r="E1010">
        <v>9</v>
      </c>
    </row>
    <row r="1011" spans="1:5" x14ac:dyDescent="0.2">
      <c r="A1011">
        <v>10020944</v>
      </c>
      <c r="B1011">
        <v>29974575</v>
      </c>
      <c r="C1011">
        <v>14</v>
      </c>
      <c r="D1011" s="1" t="s">
        <v>409</v>
      </c>
      <c r="E1011">
        <v>9</v>
      </c>
    </row>
    <row r="1012" spans="1:5" x14ac:dyDescent="0.2">
      <c r="A1012">
        <v>10020944</v>
      </c>
      <c r="B1012">
        <v>29974575</v>
      </c>
      <c r="C1012">
        <v>13</v>
      </c>
      <c r="D1012" s="1" t="s">
        <v>410</v>
      </c>
      <c r="E1012">
        <v>9</v>
      </c>
    </row>
    <row r="1013" spans="1:5" x14ac:dyDescent="0.2">
      <c r="A1013">
        <v>10020944</v>
      </c>
      <c r="B1013">
        <v>29974575</v>
      </c>
      <c r="C1013">
        <v>4</v>
      </c>
      <c r="D1013" s="1" t="s">
        <v>808</v>
      </c>
      <c r="E1013">
        <v>9</v>
      </c>
    </row>
    <row r="1014" spans="1:5" x14ac:dyDescent="0.2">
      <c r="A1014">
        <v>10020944</v>
      </c>
      <c r="B1014">
        <v>29974575</v>
      </c>
      <c r="C1014">
        <v>25</v>
      </c>
      <c r="D1014" s="1" t="s">
        <v>416</v>
      </c>
      <c r="E1014">
        <v>9</v>
      </c>
    </row>
    <row r="1015" spans="1:5" x14ac:dyDescent="0.2">
      <c r="A1015">
        <v>10020944</v>
      </c>
      <c r="B1015">
        <v>29974575</v>
      </c>
      <c r="C1015">
        <v>11</v>
      </c>
      <c r="D1015" s="1" t="s">
        <v>809</v>
      </c>
      <c r="E1015">
        <v>9</v>
      </c>
    </row>
    <row r="1016" spans="1:5" x14ac:dyDescent="0.2">
      <c r="A1016">
        <v>10020944</v>
      </c>
      <c r="B1016">
        <v>29974575</v>
      </c>
      <c r="C1016">
        <v>30</v>
      </c>
      <c r="D1016" s="1" t="s">
        <v>810</v>
      </c>
      <c r="E1016">
        <v>9</v>
      </c>
    </row>
    <row r="1017" spans="1:5" x14ac:dyDescent="0.2">
      <c r="A1017">
        <v>10020944</v>
      </c>
      <c r="B1017">
        <v>29974575</v>
      </c>
      <c r="C1017">
        <v>2</v>
      </c>
      <c r="D1017" s="1" t="s">
        <v>516</v>
      </c>
      <c r="E1017">
        <v>9</v>
      </c>
    </row>
    <row r="1018" spans="1:5" x14ac:dyDescent="0.2">
      <c r="A1018">
        <v>10020944</v>
      </c>
      <c r="B1018">
        <v>29974575</v>
      </c>
      <c r="C1018">
        <v>20</v>
      </c>
      <c r="D1018" s="1" t="s">
        <v>263</v>
      </c>
      <c r="E1018">
        <v>9</v>
      </c>
    </row>
    <row r="1019" spans="1:5" x14ac:dyDescent="0.2">
      <c r="A1019">
        <v>10020944</v>
      </c>
      <c r="B1019">
        <v>29974575</v>
      </c>
      <c r="C1019">
        <v>31</v>
      </c>
      <c r="D1019" s="1" t="s">
        <v>418</v>
      </c>
      <c r="E1019">
        <v>9</v>
      </c>
    </row>
    <row r="1020" spans="1:5" x14ac:dyDescent="0.2">
      <c r="A1020">
        <v>10027602</v>
      </c>
      <c r="B1020">
        <v>21477991</v>
      </c>
      <c r="C1020">
        <v>3</v>
      </c>
      <c r="D1020" s="1" t="s">
        <v>799</v>
      </c>
      <c r="E1020">
        <v>9</v>
      </c>
    </row>
    <row r="1021" spans="1:5" x14ac:dyDescent="0.2">
      <c r="A1021">
        <v>10027602</v>
      </c>
      <c r="B1021">
        <v>21477991</v>
      </c>
      <c r="C1021">
        <v>10</v>
      </c>
      <c r="D1021" s="1" t="s">
        <v>296</v>
      </c>
      <c r="E1021">
        <v>9</v>
      </c>
    </row>
    <row r="1022" spans="1:5" x14ac:dyDescent="0.2">
      <c r="A1022">
        <v>10027602</v>
      </c>
      <c r="B1022">
        <v>21477991</v>
      </c>
      <c r="C1022">
        <v>4</v>
      </c>
      <c r="D1022" s="1" t="s">
        <v>811</v>
      </c>
      <c r="E1022">
        <v>9</v>
      </c>
    </row>
    <row r="1023" spans="1:5" x14ac:dyDescent="0.2">
      <c r="A1023">
        <v>10027602</v>
      </c>
      <c r="B1023">
        <v>21477991</v>
      </c>
      <c r="C1023">
        <v>2</v>
      </c>
      <c r="D1023" s="1" t="s">
        <v>650</v>
      </c>
      <c r="E1023">
        <v>9</v>
      </c>
    </row>
    <row r="1024" spans="1:5" x14ac:dyDescent="0.2">
      <c r="A1024">
        <v>10027602</v>
      </c>
      <c r="B1024">
        <v>21477991</v>
      </c>
      <c r="C1024">
        <v>6</v>
      </c>
      <c r="D1024" s="1" t="s">
        <v>493</v>
      </c>
      <c r="E1024">
        <v>9</v>
      </c>
    </row>
    <row r="1025" spans="1:5" x14ac:dyDescent="0.2">
      <c r="A1025">
        <v>10027602</v>
      </c>
      <c r="B1025">
        <v>21477991</v>
      </c>
      <c r="C1025">
        <v>5</v>
      </c>
      <c r="D1025" s="1" t="s">
        <v>395</v>
      </c>
      <c r="E1025">
        <v>9</v>
      </c>
    </row>
    <row r="1026" spans="1:5" x14ac:dyDescent="0.2">
      <c r="A1026">
        <v>10027602</v>
      </c>
      <c r="B1026">
        <v>21477991</v>
      </c>
      <c r="C1026">
        <v>9</v>
      </c>
      <c r="D1026" s="1" t="s">
        <v>388</v>
      </c>
      <c r="E1026">
        <v>9</v>
      </c>
    </row>
    <row r="1027" spans="1:5" x14ac:dyDescent="0.2">
      <c r="A1027">
        <v>10027602</v>
      </c>
      <c r="B1027">
        <v>21477991</v>
      </c>
      <c r="C1027">
        <v>7</v>
      </c>
      <c r="D1027" s="1" t="s">
        <v>537</v>
      </c>
      <c r="E1027">
        <v>9</v>
      </c>
    </row>
    <row r="1028" spans="1:5" x14ac:dyDescent="0.2">
      <c r="A1028">
        <v>10027602</v>
      </c>
      <c r="B1028">
        <v>21477991</v>
      </c>
      <c r="C1028">
        <v>8</v>
      </c>
      <c r="D1028" s="1" t="s">
        <v>418</v>
      </c>
      <c r="E1028">
        <v>9</v>
      </c>
    </row>
    <row r="1029" spans="1:5" x14ac:dyDescent="0.2">
      <c r="A1029">
        <v>10027602</v>
      </c>
      <c r="B1029">
        <v>21477991</v>
      </c>
      <c r="C1029">
        <v>1</v>
      </c>
      <c r="D1029" s="1" t="s">
        <v>812</v>
      </c>
      <c r="E1029">
        <v>9</v>
      </c>
    </row>
    <row r="1030" spans="1:5" x14ac:dyDescent="0.2">
      <c r="A1030">
        <v>10027602</v>
      </c>
      <c r="B1030">
        <v>28166872</v>
      </c>
      <c r="C1030">
        <v>5</v>
      </c>
      <c r="D1030" s="1" t="s">
        <v>409</v>
      </c>
      <c r="E1030">
        <v>9</v>
      </c>
    </row>
    <row r="1031" spans="1:5" x14ac:dyDescent="0.2">
      <c r="A1031">
        <v>10027602</v>
      </c>
      <c r="B1031">
        <v>28166872</v>
      </c>
      <c r="C1031">
        <v>3</v>
      </c>
      <c r="D1031" s="1" t="s">
        <v>516</v>
      </c>
      <c r="E1031">
        <v>9</v>
      </c>
    </row>
    <row r="1032" spans="1:5" x14ac:dyDescent="0.2">
      <c r="A1032">
        <v>10027602</v>
      </c>
      <c r="B1032">
        <v>28166872</v>
      </c>
      <c r="C1032">
        <v>14</v>
      </c>
      <c r="D1032" s="1" t="s">
        <v>368</v>
      </c>
      <c r="E1032">
        <v>9</v>
      </c>
    </row>
    <row r="1033" spans="1:5" x14ac:dyDescent="0.2">
      <c r="A1033">
        <v>10027602</v>
      </c>
      <c r="B1033">
        <v>28166872</v>
      </c>
      <c r="C1033">
        <v>17</v>
      </c>
      <c r="D1033" s="1" t="s">
        <v>813</v>
      </c>
      <c r="E1033">
        <v>9</v>
      </c>
    </row>
    <row r="1034" spans="1:5" x14ac:dyDescent="0.2">
      <c r="A1034">
        <v>10027602</v>
      </c>
      <c r="B1034">
        <v>28166872</v>
      </c>
      <c r="C1034">
        <v>10</v>
      </c>
      <c r="D1034" s="1" t="s">
        <v>589</v>
      </c>
      <c r="E1034">
        <v>9</v>
      </c>
    </row>
    <row r="1035" spans="1:5" x14ac:dyDescent="0.2">
      <c r="A1035">
        <v>10027602</v>
      </c>
      <c r="B1035">
        <v>28166872</v>
      </c>
      <c r="C1035">
        <v>9</v>
      </c>
      <c r="D1035" s="1" t="s">
        <v>814</v>
      </c>
      <c r="E1035">
        <v>9</v>
      </c>
    </row>
    <row r="1036" spans="1:5" x14ac:dyDescent="0.2">
      <c r="A1036">
        <v>10027602</v>
      </c>
      <c r="B1036">
        <v>28166872</v>
      </c>
      <c r="C1036">
        <v>15</v>
      </c>
      <c r="D1036" s="1" t="s">
        <v>293</v>
      </c>
      <c r="E1036">
        <v>9</v>
      </c>
    </row>
    <row r="1037" spans="1:5" x14ac:dyDescent="0.2">
      <c r="A1037">
        <v>10027602</v>
      </c>
      <c r="B1037">
        <v>28166872</v>
      </c>
      <c r="C1037">
        <v>11</v>
      </c>
      <c r="D1037" s="1" t="s">
        <v>400</v>
      </c>
      <c r="E1037">
        <v>9</v>
      </c>
    </row>
    <row r="1038" spans="1:5" x14ac:dyDescent="0.2">
      <c r="A1038">
        <v>10027602</v>
      </c>
      <c r="B1038">
        <v>28166872</v>
      </c>
      <c r="C1038">
        <v>4</v>
      </c>
      <c r="D1038" s="1" t="s">
        <v>815</v>
      </c>
      <c r="E1038">
        <v>9</v>
      </c>
    </row>
    <row r="1039" spans="1:5" x14ac:dyDescent="0.2">
      <c r="A1039">
        <v>10027602</v>
      </c>
      <c r="B1039">
        <v>28166872</v>
      </c>
      <c r="C1039">
        <v>12</v>
      </c>
      <c r="D1039" s="1" t="s">
        <v>493</v>
      </c>
      <c r="E1039">
        <v>9</v>
      </c>
    </row>
    <row r="1040" spans="1:5" x14ac:dyDescent="0.2">
      <c r="A1040">
        <v>10027602</v>
      </c>
      <c r="B1040">
        <v>28166872</v>
      </c>
      <c r="C1040">
        <v>8</v>
      </c>
      <c r="D1040" s="1" t="s">
        <v>474</v>
      </c>
      <c r="E1040">
        <v>9</v>
      </c>
    </row>
    <row r="1041" spans="1:5" x14ac:dyDescent="0.2">
      <c r="A1041">
        <v>10027602</v>
      </c>
      <c r="B1041">
        <v>28166872</v>
      </c>
      <c r="C1041">
        <v>13</v>
      </c>
      <c r="D1041" s="1" t="s">
        <v>296</v>
      </c>
      <c r="E1041">
        <v>9</v>
      </c>
    </row>
    <row r="1042" spans="1:5" x14ac:dyDescent="0.2">
      <c r="A1042">
        <v>10027602</v>
      </c>
      <c r="B1042">
        <v>28166872</v>
      </c>
      <c r="C1042">
        <v>16</v>
      </c>
      <c r="D1042" s="1" t="s">
        <v>388</v>
      </c>
      <c r="E1042">
        <v>9</v>
      </c>
    </row>
    <row r="1043" spans="1:5" x14ac:dyDescent="0.2">
      <c r="A1043">
        <v>10027602</v>
      </c>
      <c r="B1043">
        <v>28166872</v>
      </c>
      <c r="C1043">
        <v>7</v>
      </c>
      <c r="D1043" s="1" t="s">
        <v>537</v>
      </c>
      <c r="E1043">
        <v>9</v>
      </c>
    </row>
    <row r="1044" spans="1:5" x14ac:dyDescent="0.2">
      <c r="A1044">
        <v>10027602</v>
      </c>
      <c r="B1044">
        <v>28166872</v>
      </c>
      <c r="C1044">
        <v>2</v>
      </c>
      <c r="D1044" s="1" t="s">
        <v>303</v>
      </c>
      <c r="E1044">
        <v>9</v>
      </c>
    </row>
    <row r="1045" spans="1:5" x14ac:dyDescent="0.2">
      <c r="A1045">
        <v>10027602</v>
      </c>
      <c r="B1045">
        <v>28166872</v>
      </c>
      <c r="C1045">
        <v>6</v>
      </c>
      <c r="D1045" s="1" t="s">
        <v>816</v>
      </c>
      <c r="E1045">
        <v>9</v>
      </c>
    </row>
    <row r="1046" spans="1:5" x14ac:dyDescent="0.2">
      <c r="A1046">
        <v>10027602</v>
      </c>
      <c r="B1046">
        <v>28166872</v>
      </c>
      <c r="C1046">
        <v>1</v>
      </c>
      <c r="D1046" s="1" t="s">
        <v>817</v>
      </c>
      <c r="E1046">
        <v>9</v>
      </c>
    </row>
    <row r="1047" spans="1:5" x14ac:dyDescent="0.2">
      <c r="A1047">
        <v>10032725</v>
      </c>
      <c r="B1047">
        <v>20611640</v>
      </c>
      <c r="C1047">
        <v>3</v>
      </c>
      <c r="D1047" s="1" t="s">
        <v>303</v>
      </c>
      <c r="E1047">
        <v>9</v>
      </c>
    </row>
    <row r="1048" spans="1:5" x14ac:dyDescent="0.2">
      <c r="A1048">
        <v>10032725</v>
      </c>
      <c r="B1048">
        <v>20611640</v>
      </c>
      <c r="C1048">
        <v>14</v>
      </c>
      <c r="D1048" s="1" t="s">
        <v>506</v>
      </c>
      <c r="E1048">
        <v>9</v>
      </c>
    </row>
    <row r="1049" spans="1:5" x14ac:dyDescent="0.2">
      <c r="A1049">
        <v>10032725</v>
      </c>
      <c r="B1049">
        <v>20611640</v>
      </c>
      <c r="C1049">
        <v>5</v>
      </c>
      <c r="D1049" s="1" t="s">
        <v>818</v>
      </c>
      <c r="E1049">
        <v>9</v>
      </c>
    </row>
    <row r="1050" spans="1:5" x14ac:dyDescent="0.2">
      <c r="A1050">
        <v>10032725</v>
      </c>
      <c r="B1050">
        <v>20611640</v>
      </c>
      <c r="C1050">
        <v>6</v>
      </c>
      <c r="D1050" s="1" t="s">
        <v>819</v>
      </c>
      <c r="E1050">
        <v>9</v>
      </c>
    </row>
    <row r="1051" spans="1:5" x14ac:dyDescent="0.2">
      <c r="A1051">
        <v>10032725</v>
      </c>
      <c r="B1051">
        <v>20611640</v>
      </c>
      <c r="C1051">
        <v>11</v>
      </c>
      <c r="D1051" s="1" t="s">
        <v>385</v>
      </c>
      <c r="E1051">
        <v>9</v>
      </c>
    </row>
    <row r="1052" spans="1:5" x14ac:dyDescent="0.2">
      <c r="A1052">
        <v>10032725</v>
      </c>
      <c r="B1052">
        <v>20611640</v>
      </c>
      <c r="C1052">
        <v>12</v>
      </c>
      <c r="D1052" s="1" t="s">
        <v>296</v>
      </c>
      <c r="E1052">
        <v>9</v>
      </c>
    </row>
    <row r="1053" spans="1:5" x14ac:dyDescent="0.2">
      <c r="A1053">
        <v>10032725</v>
      </c>
      <c r="B1053">
        <v>20611640</v>
      </c>
      <c r="C1053">
        <v>7</v>
      </c>
      <c r="D1053" s="1" t="s">
        <v>820</v>
      </c>
      <c r="E1053">
        <v>9</v>
      </c>
    </row>
    <row r="1054" spans="1:5" x14ac:dyDescent="0.2">
      <c r="A1054">
        <v>10032725</v>
      </c>
      <c r="B1054">
        <v>20611640</v>
      </c>
      <c r="C1054">
        <v>10</v>
      </c>
      <c r="D1054" s="1" t="s">
        <v>384</v>
      </c>
      <c r="E1054">
        <v>9</v>
      </c>
    </row>
    <row r="1055" spans="1:5" x14ac:dyDescent="0.2">
      <c r="A1055">
        <v>10032725</v>
      </c>
      <c r="B1055">
        <v>20611640</v>
      </c>
      <c r="C1055">
        <v>13</v>
      </c>
      <c r="D1055" s="1" t="s">
        <v>782</v>
      </c>
      <c r="E1055">
        <v>9</v>
      </c>
    </row>
    <row r="1056" spans="1:5" x14ac:dyDescent="0.2">
      <c r="A1056">
        <v>10032725</v>
      </c>
      <c r="B1056">
        <v>20611640</v>
      </c>
      <c r="C1056">
        <v>4</v>
      </c>
      <c r="D1056" s="1" t="s">
        <v>402</v>
      </c>
      <c r="E1056">
        <v>9</v>
      </c>
    </row>
    <row r="1057" spans="1:5" x14ac:dyDescent="0.2">
      <c r="A1057">
        <v>10032725</v>
      </c>
      <c r="B1057">
        <v>20611640</v>
      </c>
      <c r="C1057">
        <v>8</v>
      </c>
      <c r="D1057" s="1" t="s">
        <v>821</v>
      </c>
      <c r="E1057">
        <v>9</v>
      </c>
    </row>
    <row r="1058" spans="1:5" x14ac:dyDescent="0.2">
      <c r="A1058">
        <v>10032725</v>
      </c>
      <c r="B1058">
        <v>20611640</v>
      </c>
      <c r="C1058">
        <v>9</v>
      </c>
      <c r="D1058" s="1" t="s">
        <v>822</v>
      </c>
      <c r="E1058">
        <v>9</v>
      </c>
    </row>
    <row r="1059" spans="1:5" x14ac:dyDescent="0.2">
      <c r="A1059">
        <v>10032725</v>
      </c>
      <c r="B1059">
        <v>20611640</v>
      </c>
      <c r="C1059">
        <v>1</v>
      </c>
      <c r="D1059" s="1" t="s">
        <v>823</v>
      </c>
      <c r="E1059">
        <v>9</v>
      </c>
    </row>
    <row r="1060" spans="1:5" x14ac:dyDescent="0.2">
      <c r="A1060">
        <v>10032725</v>
      </c>
      <c r="B1060">
        <v>20611640</v>
      </c>
      <c r="C1060">
        <v>2</v>
      </c>
      <c r="D1060" s="1" t="s">
        <v>535</v>
      </c>
      <c r="E1060">
        <v>9</v>
      </c>
    </row>
    <row r="1061" spans="1:5" x14ac:dyDescent="0.2">
      <c r="A1061">
        <v>10032725</v>
      </c>
      <c r="B1061">
        <v>25177949</v>
      </c>
      <c r="C1061">
        <v>4</v>
      </c>
      <c r="D1061" s="1" t="s">
        <v>819</v>
      </c>
      <c r="E1061">
        <v>9</v>
      </c>
    </row>
    <row r="1062" spans="1:5" x14ac:dyDescent="0.2">
      <c r="A1062">
        <v>10032725</v>
      </c>
      <c r="B1062">
        <v>25177949</v>
      </c>
      <c r="C1062">
        <v>12</v>
      </c>
      <c r="D1062" s="1" t="s">
        <v>296</v>
      </c>
      <c r="E1062">
        <v>9</v>
      </c>
    </row>
    <row r="1063" spans="1:5" x14ac:dyDescent="0.2">
      <c r="A1063">
        <v>10032725</v>
      </c>
      <c r="B1063">
        <v>25177949</v>
      </c>
      <c r="C1063">
        <v>20</v>
      </c>
      <c r="D1063" s="1" t="s">
        <v>824</v>
      </c>
      <c r="E1063">
        <v>9</v>
      </c>
    </row>
    <row r="1064" spans="1:5" x14ac:dyDescent="0.2">
      <c r="A1064">
        <v>10032725</v>
      </c>
      <c r="B1064">
        <v>25177949</v>
      </c>
      <c r="C1064">
        <v>16</v>
      </c>
      <c r="D1064" s="1" t="s">
        <v>407</v>
      </c>
      <c r="E1064">
        <v>9</v>
      </c>
    </row>
    <row r="1065" spans="1:5" x14ac:dyDescent="0.2">
      <c r="A1065">
        <v>10032725</v>
      </c>
      <c r="B1065">
        <v>25177949</v>
      </c>
      <c r="C1065">
        <v>14</v>
      </c>
      <c r="D1065" s="1" t="s">
        <v>259</v>
      </c>
      <c r="E1065">
        <v>9</v>
      </c>
    </row>
    <row r="1066" spans="1:5" x14ac:dyDescent="0.2">
      <c r="A1066">
        <v>10032725</v>
      </c>
      <c r="B1066">
        <v>25177949</v>
      </c>
      <c r="C1066">
        <v>22</v>
      </c>
      <c r="D1066" s="1" t="s">
        <v>395</v>
      </c>
      <c r="E1066">
        <v>9</v>
      </c>
    </row>
    <row r="1067" spans="1:5" x14ac:dyDescent="0.2">
      <c r="A1067">
        <v>10032725</v>
      </c>
      <c r="B1067">
        <v>25177949</v>
      </c>
      <c r="C1067">
        <v>18</v>
      </c>
      <c r="D1067" s="1" t="s">
        <v>490</v>
      </c>
      <c r="E1067">
        <v>9</v>
      </c>
    </row>
    <row r="1068" spans="1:5" x14ac:dyDescent="0.2">
      <c r="A1068">
        <v>10032725</v>
      </c>
      <c r="B1068">
        <v>25177949</v>
      </c>
      <c r="C1068">
        <v>11</v>
      </c>
      <c r="D1068" s="1" t="s">
        <v>825</v>
      </c>
      <c r="E1068">
        <v>9</v>
      </c>
    </row>
    <row r="1069" spans="1:5" x14ac:dyDescent="0.2">
      <c r="A1069">
        <v>10032725</v>
      </c>
      <c r="B1069">
        <v>25177949</v>
      </c>
      <c r="C1069">
        <v>2</v>
      </c>
      <c r="D1069" s="1" t="s">
        <v>826</v>
      </c>
      <c r="E1069">
        <v>9</v>
      </c>
    </row>
    <row r="1070" spans="1:5" x14ac:dyDescent="0.2">
      <c r="A1070">
        <v>10032725</v>
      </c>
      <c r="B1070">
        <v>25177949</v>
      </c>
      <c r="C1070">
        <v>19</v>
      </c>
      <c r="D1070" s="1" t="s">
        <v>827</v>
      </c>
      <c r="E1070">
        <v>9</v>
      </c>
    </row>
    <row r="1071" spans="1:5" x14ac:dyDescent="0.2">
      <c r="A1071">
        <v>10032725</v>
      </c>
      <c r="B1071">
        <v>25177949</v>
      </c>
      <c r="C1071">
        <v>13</v>
      </c>
      <c r="D1071" s="1" t="s">
        <v>384</v>
      </c>
      <c r="E1071">
        <v>9</v>
      </c>
    </row>
    <row r="1072" spans="1:5" x14ac:dyDescent="0.2">
      <c r="A1072">
        <v>10032725</v>
      </c>
      <c r="B1072">
        <v>25177949</v>
      </c>
      <c r="C1072">
        <v>15</v>
      </c>
      <c r="D1072" s="1" t="s">
        <v>821</v>
      </c>
      <c r="E1072">
        <v>9</v>
      </c>
    </row>
    <row r="1073" spans="1:5" x14ac:dyDescent="0.2">
      <c r="A1073">
        <v>10032725</v>
      </c>
      <c r="B1073">
        <v>25177949</v>
      </c>
      <c r="C1073">
        <v>5</v>
      </c>
      <c r="D1073" s="1" t="s">
        <v>828</v>
      </c>
      <c r="E1073">
        <v>9</v>
      </c>
    </row>
    <row r="1074" spans="1:5" x14ac:dyDescent="0.2">
      <c r="A1074">
        <v>10032725</v>
      </c>
      <c r="B1074">
        <v>25177949</v>
      </c>
      <c r="C1074">
        <v>1</v>
      </c>
      <c r="D1074" s="1" t="s">
        <v>829</v>
      </c>
      <c r="E1074">
        <v>9</v>
      </c>
    </row>
    <row r="1075" spans="1:5" x14ac:dyDescent="0.2">
      <c r="A1075">
        <v>10032725</v>
      </c>
      <c r="B1075">
        <v>25177949</v>
      </c>
      <c r="C1075">
        <v>7</v>
      </c>
      <c r="D1075" s="1" t="s">
        <v>394</v>
      </c>
      <c r="E1075">
        <v>9</v>
      </c>
    </row>
    <row r="1076" spans="1:5" x14ac:dyDescent="0.2">
      <c r="A1076">
        <v>10032725</v>
      </c>
      <c r="B1076">
        <v>25177949</v>
      </c>
      <c r="C1076">
        <v>10</v>
      </c>
      <c r="D1076" s="1" t="s">
        <v>830</v>
      </c>
      <c r="E1076">
        <v>9</v>
      </c>
    </row>
    <row r="1077" spans="1:5" x14ac:dyDescent="0.2">
      <c r="A1077">
        <v>10032725</v>
      </c>
      <c r="B1077">
        <v>25177949</v>
      </c>
      <c r="C1077">
        <v>8</v>
      </c>
      <c r="D1077" s="1" t="s">
        <v>831</v>
      </c>
      <c r="E1077">
        <v>9</v>
      </c>
    </row>
    <row r="1078" spans="1:5" x14ac:dyDescent="0.2">
      <c r="A1078">
        <v>10032725</v>
      </c>
      <c r="B1078">
        <v>25177949</v>
      </c>
      <c r="C1078">
        <v>3</v>
      </c>
      <c r="D1078" s="1" t="s">
        <v>818</v>
      </c>
      <c r="E1078">
        <v>9</v>
      </c>
    </row>
    <row r="1079" spans="1:5" x14ac:dyDescent="0.2">
      <c r="A1079">
        <v>10032725</v>
      </c>
      <c r="B1079">
        <v>25177949</v>
      </c>
      <c r="C1079">
        <v>21</v>
      </c>
      <c r="D1079" s="1" t="s">
        <v>832</v>
      </c>
      <c r="E1079">
        <v>9</v>
      </c>
    </row>
    <row r="1080" spans="1:5" x14ac:dyDescent="0.2">
      <c r="A1080">
        <v>10032725</v>
      </c>
      <c r="B1080">
        <v>25177949</v>
      </c>
      <c r="C1080">
        <v>17</v>
      </c>
      <c r="D1080" s="1" t="s">
        <v>514</v>
      </c>
      <c r="E1080">
        <v>9</v>
      </c>
    </row>
    <row r="1081" spans="1:5" x14ac:dyDescent="0.2">
      <c r="A1081">
        <v>10032725</v>
      </c>
      <c r="B1081">
        <v>25177949</v>
      </c>
      <c r="C1081">
        <v>9</v>
      </c>
      <c r="D1081" s="1" t="s">
        <v>506</v>
      </c>
      <c r="E1081">
        <v>9</v>
      </c>
    </row>
    <row r="1082" spans="1:5" x14ac:dyDescent="0.2">
      <c r="A1082">
        <v>10032725</v>
      </c>
      <c r="B1082">
        <v>25177949</v>
      </c>
      <c r="C1082">
        <v>23</v>
      </c>
      <c r="D1082" s="1" t="s">
        <v>833</v>
      </c>
      <c r="E1082">
        <v>9</v>
      </c>
    </row>
    <row r="1083" spans="1:5" x14ac:dyDescent="0.2">
      <c r="A1083">
        <v>10032725</v>
      </c>
      <c r="B1083">
        <v>25177949</v>
      </c>
      <c r="C1083">
        <v>6</v>
      </c>
      <c r="D1083" s="1" t="s">
        <v>409</v>
      </c>
      <c r="E1083">
        <v>9</v>
      </c>
    </row>
    <row r="1084" spans="1:5" x14ac:dyDescent="0.2">
      <c r="A1084">
        <v>10005348</v>
      </c>
      <c r="B1084">
        <v>29496232</v>
      </c>
      <c r="C1084">
        <v>28</v>
      </c>
      <c r="D1084" s="1" t="s">
        <v>834</v>
      </c>
      <c r="E1084">
        <v>9</v>
      </c>
    </row>
    <row r="1085" spans="1:5" x14ac:dyDescent="0.2">
      <c r="A1085">
        <v>10005348</v>
      </c>
      <c r="B1085">
        <v>29496232</v>
      </c>
      <c r="C1085">
        <v>23</v>
      </c>
      <c r="D1085" s="1" t="s">
        <v>274</v>
      </c>
      <c r="E1085">
        <v>9</v>
      </c>
    </row>
    <row r="1086" spans="1:5" x14ac:dyDescent="0.2">
      <c r="A1086">
        <v>10005348</v>
      </c>
      <c r="B1086">
        <v>29496232</v>
      </c>
      <c r="C1086">
        <v>24</v>
      </c>
      <c r="D1086" s="1" t="s">
        <v>835</v>
      </c>
      <c r="E1086">
        <v>9</v>
      </c>
    </row>
    <row r="1087" spans="1:5" x14ac:dyDescent="0.2">
      <c r="A1087">
        <v>10005348</v>
      </c>
      <c r="B1087">
        <v>29496232</v>
      </c>
      <c r="C1087">
        <v>26</v>
      </c>
      <c r="D1087" s="1" t="s">
        <v>264</v>
      </c>
      <c r="E1087">
        <v>9</v>
      </c>
    </row>
    <row r="1088" spans="1:5" x14ac:dyDescent="0.2">
      <c r="A1088">
        <v>10005348</v>
      </c>
      <c r="B1088">
        <v>29496232</v>
      </c>
      <c r="C1088">
        <v>13</v>
      </c>
      <c r="D1088" s="1" t="s">
        <v>836</v>
      </c>
      <c r="E1088">
        <v>9</v>
      </c>
    </row>
    <row r="1089" spans="1:5" x14ac:dyDescent="0.2">
      <c r="A1089">
        <v>10005348</v>
      </c>
      <c r="B1089">
        <v>29496232</v>
      </c>
      <c r="C1089">
        <v>25</v>
      </c>
      <c r="D1089" s="1" t="s">
        <v>320</v>
      </c>
      <c r="E1089">
        <v>9</v>
      </c>
    </row>
    <row r="1090" spans="1:5" x14ac:dyDescent="0.2">
      <c r="A1090">
        <v>10005348</v>
      </c>
      <c r="B1090">
        <v>29496232</v>
      </c>
      <c r="C1090">
        <v>27</v>
      </c>
      <c r="D1090" s="1" t="s">
        <v>837</v>
      </c>
      <c r="E1090">
        <v>9</v>
      </c>
    </row>
    <row r="1091" spans="1:5" x14ac:dyDescent="0.2">
      <c r="A1091">
        <v>10005348</v>
      </c>
      <c r="B1091">
        <v>29496232</v>
      </c>
      <c r="C1091">
        <v>7</v>
      </c>
      <c r="D1091" s="1" t="s">
        <v>838</v>
      </c>
      <c r="E1091">
        <v>9</v>
      </c>
    </row>
    <row r="1092" spans="1:5" x14ac:dyDescent="0.2">
      <c r="A1092">
        <v>10005348</v>
      </c>
      <c r="B1092">
        <v>29496232</v>
      </c>
      <c r="C1092">
        <v>10</v>
      </c>
      <c r="D1092" s="1" t="s">
        <v>272</v>
      </c>
      <c r="E1092">
        <v>9</v>
      </c>
    </row>
    <row r="1093" spans="1:5" x14ac:dyDescent="0.2">
      <c r="A1093">
        <v>10005348</v>
      </c>
      <c r="B1093">
        <v>29496232</v>
      </c>
      <c r="C1093">
        <v>4</v>
      </c>
      <c r="D1093" s="1" t="s">
        <v>839</v>
      </c>
      <c r="E1093">
        <v>9</v>
      </c>
    </row>
    <row r="1094" spans="1:5" x14ac:dyDescent="0.2">
      <c r="A1094">
        <v>10005348</v>
      </c>
      <c r="B1094">
        <v>29496232</v>
      </c>
      <c r="C1094">
        <v>12</v>
      </c>
      <c r="D1094" s="1" t="s">
        <v>259</v>
      </c>
      <c r="E1094">
        <v>9</v>
      </c>
    </row>
    <row r="1095" spans="1:5" x14ac:dyDescent="0.2">
      <c r="A1095">
        <v>10005348</v>
      </c>
      <c r="B1095">
        <v>29496232</v>
      </c>
      <c r="C1095">
        <v>2</v>
      </c>
      <c r="D1095" s="1" t="s">
        <v>840</v>
      </c>
      <c r="E1095">
        <v>9</v>
      </c>
    </row>
    <row r="1096" spans="1:5" x14ac:dyDescent="0.2">
      <c r="A1096">
        <v>10005348</v>
      </c>
      <c r="B1096">
        <v>29496232</v>
      </c>
      <c r="C1096">
        <v>22</v>
      </c>
      <c r="D1096" s="1" t="s">
        <v>359</v>
      </c>
      <c r="E1096">
        <v>9</v>
      </c>
    </row>
    <row r="1097" spans="1:5" x14ac:dyDescent="0.2">
      <c r="A1097">
        <v>10005348</v>
      </c>
      <c r="B1097">
        <v>29496232</v>
      </c>
      <c r="C1097">
        <v>16</v>
      </c>
      <c r="D1097" s="1" t="s">
        <v>841</v>
      </c>
      <c r="E1097">
        <v>9</v>
      </c>
    </row>
    <row r="1098" spans="1:5" x14ac:dyDescent="0.2">
      <c r="A1098">
        <v>10005348</v>
      </c>
      <c r="B1098">
        <v>29496232</v>
      </c>
      <c r="C1098">
        <v>15</v>
      </c>
      <c r="D1098" s="1" t="s">
        <v>842</v>
      </c>
      <c r="E1098">
        <v>9</v>
      </c>
    </row>
    <row r="1099" spans="1:5" x14ac:dyDescent="0.2">
      <c r="A1099">
        <v>10005348</v>
      </c>
      <c r="B1099">
        <v>29496232</v>
      </c>
      <c r="C1099">
        <v>20</v>
      </c>
      <c r="D1099" s="1" t="s">
        <v>414</v>
      </c>
      <c r="E1099">
        <v>9</v>
      </c>
    </row>
    <row r="1100" spans="1:5" x14ac:dyDescent="0.2">
      <c r="A1100">
        <v>10005348</v>
      </c>
      <c r="B1100">
        <v>29496232</v>
      </c>
      <c r="C1100">
        <v>8</v>
      </c>
      <c r="D1100" s="1" t="s">
        <v>530</v>
      </c>
      <c r="E1100">
        <v>9</v>
      </c>
    </row>
    <row r="1101" spans="1:5" x14ac:dyDescent="0.2">
      <c r="A1101">
        <v>10005348</v>
      </c>
      <c r="B1101">
        <v>29496232</v>
      </c>
      <c r="C1101">
        <v>14</v>
      </c>
      <c r="D1101" s="1" t="s">
        <v>723</v>
      </c>
      <c r="E1101">
        <v>9</v>
      </c>
    </row>
    <row r="1102" spans="1:5" x14ac:dyDescent="0.2">
      <c r="A1102">
        <v>10005348</v>
      </c>
      <c r="B1102">
        <v>29496232</v>
      </c>
      <c r="C1102">
        <v>6</v>
      </c>
      <c r="D1102" s="1" t="s">
        <v>466</v>
      </c>
      <c r="E1102">
        <v>9</v>
      </c>
    </row>
    <row r="1103" spans="1:5" x14ac:dyDescent="0.2">
      <c r="A1103">
        <v>10005348</v>
      </c>
      <c r="B1103">
        <v>29496232</v>
      </c>
      <c r="C1103">
        <v>1</v>
      </c>
      <c r="D1103" s="1" t="s">
        <v>843</v>
      </c>
      <c r="E1103">
        <v>9</v>
      </c>
    </row>
    <row r="1104" spans="1:5" x14ac:dyDescent="0.2">
      <c r="A1104">
        <v>10005348</v>
      </c>
      <c r="B1104">
        <v>29496232</v>
      </c>
      <c r="C1104">
        <v>5</v>
      </c>
      <c r="D1104" s="1" t="s">
        <v>253</v>
      </c>
      <c r="E1104">
        <v>9</v>
      </c>
    </row>
    <row r="1105" spans="1:5" x14ac:dyDescent="0.2">
      <c r="A1105">
        <v>10005348</v>
      </c>
      <c r="B1105">
        <v>29496232</v>
      </c>
      <c r="C1105">
        <v>19</v>
      </c>
      <c r="D1105" s="1" t="s">
        <v>844</v>
      </c>
      <c r="E1105">
        <v>9</v>
      </c>
    </row>
    <row r="1106" spans="1:5" x14ac:dyDescent="0.2">
      <c r="A1106">
        <v>10005348</v>
      </c>
      <c r="B1106">
        <v>29496232</v>
      </c>
      <c r="C1106">
        <v>17</v>
      </c>
      <c r="D1106" s="1" t="s">
        <v>845</v>
      </c>
      <c r="E1106">
        <v>9</v>
      </c>
    </row>
    <row r="1107" spans="1:5" x14ac:dyDescent="0.2">
      <c r="A1107">
        <v>10005348</v>
      </c>
      <c r="B1107">
        <v>29496232</v>
      </c>
      <c r="C1107">
        <v>21</v>
      </c>
      <c r="D1107" s="1" t="s">
        <v>846</v>
      </c>
      <c r="E1107">
        <v>9</v>
      </c>
    </row>
    <row r="1108" spans="1:5" x14ac:dyDescent="0.2">
      <c r="A1108">
        <v>10005348</v>
      </c>
      <c r="B1108">
        <v>29496232</v>
      </c>
      <c r="C1108">
        <v>9</v>
      </c>
      <c r="D1108" s="1" t="s">
        <v>847</v>
      </c>
      <c r="E1108">
        <v>9</v>
      </c>
    </row>
    <row r="1109" spans="1:5" x14ac:dyDescent="0.2">
      <c r="A1109">
        <v>10005348</v>
      </c>
      <c r="B1109">
        <v>29496232</v>
      </c>
      <c r="C1109">
        <v>11</v>
      </c>
      <c r="D1109" s="1" t="s">
        <v>296</v>
      </c>
      <c r="E1109">
        <v>9</v>
      </c>
    </row>
    <row r="1110" spans="1:5" x14ac:dyDescent="0.2">
      <c r="A1110">
        <v>10005348</v>
      </c>
      <c r="B1110">
        <v>29496232</v>
      </c>
      <c r="C1110">
        <v>3</v>
      </c>
      <c r="D1110" s="1" t="s">
        <v>407</v>
      </c>
      <c r="E1110">
        <v>9</v>
      </c>
    </row>
    <row r="1111" spans="1:5" x14ac:dyDescent="0.2">
      <c r="A1111">
        <v>10005348</v>
      </c>
      <c r="B1111">
        <v>29496232</v>
      </c>
      <c r="C1111">
        <v>18</v>
      </c>
      <c r="D1111" s="1" t="s">
        <v>406</v>
      </c>
      <c r="E1111">
        <v>9</v>
      </c>
    </row>
    <row r="1112" spans="1:5" x14ac:dyDescent="0.2">
      <c r="A1112">
        <v>10005348</v>
      </c>
      <c r="B1112">
        <v>29176490</v>
      </c>
      <c r="C1112">
        <v>4</v>
      </c>
      <c r="D1112" s="1" t="s">
        <v>259</v>
      </c>
      <c r="E1112">
        <v>9</v>
      </c>
    </row>
    <row r="1113" spans="1:5" x14ac:dyDescent="0.2">
      <c r="A1113">
        <v>10005348</v>
      </c>
      <c r="B1113">
        <v>29176490</v>
      </c>
      <c r="C1113">
        <v>5</v>
      </c>
      <c r="D1113" s="1" t="s">
        <v>382</v>
      </c>
      <c r="E1113">
        <v>9</v>
      </c>
    </row>
    <row r="1114" spans="1:5" x14ac:dyDescent="0.2">
      <c r="A1114">
        <v>10005348</v>
      </c>
      <c r="B1114">
        <v>29176490</v>
      </c>
      <c r="C1114">
        <v>2</v>
      </c>
      <c r="D1114" s="1" t="s">
        <v>296</v>
      </c>
      <c r="E1114">
        <v>9</v>
      </c>
    </row>
    <row r="1115" spans="1:5" x14ac:dyDescent="0.2">
      <c r="A1115">
        <v>10005348</v>
      </c>
      <c r="B1115">
        <v>29176490</v>
      </c>
      <c r="C1115">
        <v>3</v>
      </c>
      <c r="D1115" s="1" t="s">
        <v>251</v>
      </c>
      <c r="E1115">
        <v>9</v>
      </c>
    </row>
    <row r="1116" spans="1:5" x14ac:dyDescent="0.2">
      <c r="A1116">
        <v>10005348</v>
      </c>
      <c r="B1116">
        <v>29176490</v>
      </c>
      <c r="C1116">
        <v>1</v>
      </c>
      <c r="D1116" s="1" t="s">
        <v>253</v>
      </c>
      <c r="E1116">
        <v>9</v>
      </c>
    </row>
    <row r="1117" spans="1:5" x14ac:dyDescent="0.2">
      <c r="A1117">
        <v>10005348</v>
      </c>
      <c r="B1117">
        <v>25239799</v>
      </c>
      <c r="C1117">
        <v>12</v>
      </c>
      <c r="D1117" s="1" t="s">
        <v>406</v>
      </c>
      <c r="E1117">
        <v>9</v>
      </c>
    </row>
    <row r="1118" spans="1:5" x14ac:dyDescent="0.2">
      <c r="A1118">
        <v>10005348</v>
      </c>
      <c r="B1118">
        <v>25239799</v>
      </c>
      <c r="C1118">
        <v>1</v>
      </c>
      <c r="D1118" s="1" t="s">
        <v>530</v>
      </c>
      <c r="E1118">
        <v>9</v>
      </c>
    </row>
    <row r="1119" spans="1:5" x14ac:dyDescent="0.2">
      <c r="A1119">
        <v>10005348</v>
      </c>
      <c r="B1119">
        <v>25239799</v>
      </c>
      <c r="C1119">
        <v>10</v>
      </c>
      <c r="D1119" s="1" t="s">
        <v>296</v>
      </c>
      <c r="E1119">
        <v>9</v>
      </c>
    </row>
    <row r="1120" spans="1:5" x14ac:dyDescent="0.2">
      <c r="A1120">
        <v>10005348</v>
      </c>
      <c r="B1120">
        <v>25239799</v>
      </c>
      <c r="C1120">
        <v>27</v>
      </c>
      <c r="D1120" s="1" t="s">
        <v>466</v>
      </c>
      <c r="E1120">
        <v>9</v>
      </c>
    </row>
    <row r="1121" spans="1:5" x14ac:dyDescent="0.2">
      <c r="A1121">
        <v>10005348</v>
      </c>
      <c r="B1121">
        <v>25239799</v>
      </c>
      <c r="C1121">
        <v>18</v>
      </c>
      <c r="D1121" s="1" t="s">
        <v>848</v>
      </c>
      <c r="E1121">
        <v>9</v>
      </c>
    </row>
    <row r="1122" spans="1:5" x14ac:dyDescent="0.2">
      <c r="A1122">
        <v>10005348</v>
      </c>
      <c r="B1122">
        <v>25239799</v>
      </c>
      <c r="C1122">
        <v>19</v>
      </c>
      <c r="D1122" s="1" t="s">
        <v>849</v>
      </c>
      <c r="E1122">
        <v>9</v>
      </c>
    </row>
    <row r="1123" spans="1:5" x14ac:dyDescent="0.2">
      <c r="A1123">
        <v>10005348</v>
      </c>
      <c r="B1123">
        <v>25239799</v>
      </c>
      <c r="C1123">
        <v>22</v>
      </c>
      <c r="D1123" s="1" t="s">
        <v>838</v>
      </c>
      <c r="E1123">
        <v>9</v>
      </c>
    </row>
    <row r="1124" spans="1:5" x14ac:dyDescent="0.2">
      <c r="A1124">
        <v>10005348</v>
      </c>
      <c r="B1124">
        <v>25239799</v>
      </c>
      <c r="C1124">
        <v>4</v>
      </c>
      <c r="D1124" s="1" t="s">
        <v>850</v>
      </c>
      <c r="E1124">
        <v>9</v>
      </c>
    </row>
    <row r="1125" spans="1:5" x14ac:dyDescent="0.2">
      <c r="A1125">
        <v>10005348</v>
      </c>
      <c r="B1125">
        <v>25239799</v>
      </c>
      <c r="C1125">
        <v>17</v>
      </c>
      <c r="D1125" s="1" t="s">
        <v>744</v>
      </c>
      <c r="E1125">
        <v>9</v>
      </c>
    </row>
    <row r="1126" spans="1:5" x14ac:dyDescent="0.2">
      <c r="A1126">
        <v>10005348</v>
      </c>
      <c r="B1126">
        <v>25239799</v>
      </c>
      <c r="C1126">
        <v>7</v>
      </c>
      <c r="D1126" s="1" t="s">
        <v>307</v>
      </c>
      <c r="E1126">
        <v>9</v>
      </c>
    </row>
    <row r="1127" spans="1:5" x14ac:dyDescent="0.2">
      <c r="A1127">
        <v>10005348</v>
      </c>
      <c r="B1127">
        <v>25239799</v>
      </c>
      <c r="C1127">
        <v>20</v>
      </c>
      <c r="D1127" s="1" t="s">
        <v>851</v>
      </c>
      <c r="E1127">
        <v>9</v>
      </c>
    </row>
    <row r="1128" spans="1:5" x14ac:dyDescent="0.2">
      <c r="A1128">
        <v>10005348</v>
      </c>
      <c r="B1128">
        <v>25239799</v>
      </c>
      <c r="C1128">
        <v>9</v>
      </c>
      <c r="D1128" s="1" t="s">
        <v>253</v>
      </c>
      <c r="E1128">
        <v>9</v>
      </c>
    </row>
    <row r="1129" spans="1:5" x14ac:dyDescent="0.2">
      <c r="A1129">
        <v>10005348</v>
      </c>
      <c r="B1129">
        <v>25239799</v>
      </c>
      <c r="C1129">
        <v>24</v>
      </c>
      <c r="D1129" s="1" t="s">
        <v>258</v>
      </c>
      <c r="E1129">
        <v>9</v>
      </c>
    </row>
    <row r="1130" spans="1:5" x14ac:dyDescent="0.2">
      <c r="A1130">
        <v>10005348</v>
      </c>
      <c r="B1130">
        <v>25239799</v>
      </c>
      <c r="C1130">
        <v>28</v>
      </c>
      <c r="D1130" s="1" t="s">
        <v>575</v>
      </c>
      <c r="E1130">
        <v>9</v>
      </c>
    </row>
    <row r="1131" spans="1:5" x14ac:dyDescent="0.2">
      <c r="A1131">
        <v>10005348</v>
      </c>
      <c r="B1131">
        <v>25239799</v>
      </c>
      <c r="C1131">
        <v>21</v>
      </c>
      <c r="D1131" s="1" t="s">
        <v>252</v>
      </c>
      <c r="E1131">
        <v>9</v>
      </c>
    </row>
    <row r="1132" spans="1:5" x14ac:dyDescent="0.2">
      <c r="A1132">
        <v>10005348</v>
      </c>
      <c r="B1132">
        <v>25239799</v>
      </c>
      <c r="C1132">
        <v>2</v>
      </c>
      <c r="D1132" s="1" t="s">
        <v>840</v>
      </c>
      <c r="E1132">
        <v>9</v>
      </c>
    </row>
    <row r="1133" spans="1:5" x14ac:dyDescent="0.2">
      <c r="A1133">
        <v>10005348</v>
      </c>
      <c r="B1133">
        <v>25239799</v>
      </c>
      <c r="C1133">
        <v>13</v>
      </c>
      <c r="D1133" s="1" t="s">
        <v>259</v>
      </c>
      <c r="E1133">
        <v>9</v>
      </c>
    </row>
    <row r="1134" spans="1:5" x14ac:dyDescent="0.2">
      <c r="A1134">
        <v>10005348</v>
      </c>
      <c r="B1134">
        <v>25239799</v>
      </c>
      <c r="C1134">
        <v>11</v>
      </c>
      <c r="D1134" s="1" t="s">
        <v>842</v>
      </c>
      <c r="E1134">
        <v>9</v>
      </c>
    </row>
    <row r="1135" spans="1:5" x14ac:dyDescent="0.2">
      <c r="A1135">
        <v>10005348</v>
      </c>
      <c r="B1135">
        <v>25239799</v>
      </c>
      <c r="C1135">
        <v>6</v>
      </c>
      <c r="D1135" s="1" t="s">
        <v>268</v>
      </c>
      <c r="E1135">
        <v>9</v>
      </c>
    </row>
    <row r="1136" spans="1:5" x14ac:dyDescent="0.2">
      <c r="A1136">
        <v>10005348</v>
      </c>
      <c r="B1136">
        <v>25239799</v>
      </c>
      <c r="C1136">
        <v>15</v>
      </c>
      <c r="D1136" s="1" t="s">
        <v>835</v>
      </c>
      <c r="E1136">
        <v>9</v>
      </c>
    </row>
    <row r="1137" spans="1:5" x14ac:dyDescent="0.2">
      <c r="A1137">
        <v>10005348</v>
      </c>
      <c r="B1137">
        <v>25239799</v>
      </c>
      <c r="C1137">
        <v>3</v>
      </c>
      <c r="D1137" s="1" t="s">
        <v>852</v>
      </c>
      <c r="E1137">
        <v>9</v>
      </c>
    </row>
    <row r="1138" spans="1:5" x14ac:dyDescent="0.2">
      <c r="A1138">
        <v>10005348</v>
      </c>
      <c r="B1138">
        <v>25239799</v>
      </c>
      <c r="C1138">
        <v>14</v>
      </c>
      <c r="D1138" s="1" t="s">
        <v>853</v>
      </c>
      <c r="E1138">
        <v>9</v>
      </c>
    </row>
    <row r="1139" spans="1:5" x14ac:dyDescent="0.2">
      <c r="A1139">
        <v>10005348</v>
      </c>
      <c r="B1139">
        <v>25239799</v>
      </c>
      <c r="C1139">
        <v>5</v>
      </c>
      <c r="D1139" s="1" t="s">
        <v>320</v>
      </c>
      <c r="E1139">
        <v>9</v>
      </c>
    </row>
    <row r="1140" spans="1:5" x14ac:dyDescent="0.2">
      <c r="A1140">
        <v>10005348</v>
      </c>
      <c r="B1140">
        <v>25239799</v>
      </c>
      <c r="C1140">
        <v>25</v>
      </c>
      <c r="D1140" s="1" t="s">
        <v>354</v>
      </c>
      <c r="E1140">
        <v>9</v>
      </c>
    </row>
    <row r="1141" spans="1:5" x14ac:dyDescent="0.2">
      <c r="A1141">
        <v>10005348</v>
      </c>
      <c r="B1141">
        <v>25239799</v>
      </c>
      <c r="C1141">
        <v>26</v>
      </c>
      <c r="D1141" s="1" t="s">
        <v>359</v>
      </c>
      <c r="E1141">
        <v>9</v>
      </c>
    </row>
    <row r="1142" spans="1:5" x14ac:dyDescent="0.2">
      <c r="A1142">
        <v>10005348</v>
      </c>
      <c r="B1142">
        <v>25239799</v>
      </c>
      <c r="C1142">
        <v>16</v>
      </c>
      <c r="D1142" s="1" t="s">
        <v>844</v>
      </c>
      <c r="E1142">
        <v>9</v>
      </c>
    </row>
    <row r="1143" spans="1:5" x14ac:dyDescent="0.2">
      <c r="A1143">
        <v>10005348</v>
      </c>
      <c r="B1143">
        <v>25239799</v>
      </c>
      <c r="C1143">
        <v>23</v>
      </c>
      <c r="D1143" s="1" t="s">
        <v>854</v>
      </c>
      <c r="E1143">
        <v>9</v>
      </c>
    </row>
    <row r="1144" spans="1:5" x14ac:dyDescent="0.2">
      <c r="A1144">
        <v>10005348</v>
      </c>
      <c r="B1144">
        <v>25239799</v>
      </c>
      <c r="C1144">
        <v>8</v>
      </c>
      <c r="D1144" s="1" t="s">
        <v>595</v>
      </c>
      <c r="E1144">
        <v>9</v>
      </c>
    </row>
    <row r="1145" spans="1:5" x14ac:dyDescent="0.2">
      <c r="A1145">
        <v>10037861</v>
      </c>
      <c r="B1145">
        <v>24256866</v>
      </c>
      <c r="C1145">
        <v>13</v>
      </c>
      <c r="D1145" s="1" t="s">
        <v>463</v>
      </c>
      <c r="E1145">
        <v>9</v>
      </c>
    </row>
    <row r="1146" spans="1:5" x14ac:dyDescent="0.2">
      <c r="A1146">
        <v>10037861</v>
      </c>
      <c r="B1146">
        <v>24256866</v>
      </c>
      <c r="C1146">
        <v>16</v>
      </c>
      <c r="D1146" s="1" t="s">
        <v>713</v>
      </c>
      <c r="E1146">
        <v>9</v>
      </c>
    </row>
    <row r="1147" spans="1:5" x14ac:dyDescent="0.2">
      <c r="A1147">
        <v>10037861</v>
      </c>
      <c r="B1147">
        <v>24256866</v>
      </c>
      <c r="C1147">
        <v>11</v>
      </c>
      <c r="D1147" s="1" t="s">
        <v>711</v>
      </c>
      <c r="E1147">
        <v>9</v>
      </c>
    </row>
    <row r="1148" spans="1:5" x14ac:dyDescent="0.2">
      <c r="A1148">
        <v>10037861</v>
      </c>
      <c r="B1148">
        <v>24256866</v>
      </c>
      <c r="C1148">
        <v>15</v>
      </c>
      <c r="D1148" s="1" t="s">
        <v>416</v>
      </c>
      <c r="E1148">
        <v>9</v>
      </c>
    </row>
    <row r="1149" spans="1:5" x14ac:dyDescent="0.2">
      <c r="A1149">
        <v>10037861</v>
      </c>
      <c r="B1149">
        <v>24256866</v>
      </c>
      <c r="C1149">
        <v>22</v>
      </c>
      <c r="D1149" s="1" t="s">
        <v>855</v>
      </c>
      <c r="E1149">
        <v>9</v>
      </c>
    </row>
    <row r="1150" spans="1:5" x14ac:dyDescent="0.2">
      <c r="A1150">
        <v>10037861</v>
      </c>
      <c r="B1150">
        <v>24256866</v>
      </c>
      <c r="C1150">
        <v>14</v>
      </c>
      <c r="D1150" s="1" t="s">
        <v>320</v>
      </c>
      <c r="E1150">
        <v>9</v>
      </c>
    </row>
    <row r="1151" spans="1:5" x14ac:dyDescent="0.2">
      <c r="A1151">
        <v>10037861</v>
      </c>
      <c r="B1151">
        <v>24256866</v>
      </c>
      <c r="C1151">
        <v>19</v>
      </c>
      <c r="D1151" s="1" t="s">
        <v>856</v>
      </c>
      <c r="E1151">
        <v>9</v>
      </c>
    </row>
    <row r="1152" spans="1:5" x14ac:dyDescent="0.2">
      <c r="A1152">
        <v>10037861</v>
      </c>
      <c r="B1152">
        <v>24256866</v>
      </c>
      <c r="C1152">
        <v>3</v>
      </c>
      <c r="D1152" s="1" t="s">
        <v>403</v>
      </c>
      <c r="E1152">
        <v>9</v>
      </c>
    </row>
    <row r="1153" spans="1:5" x14ac:dyDescent="0.2">
      <c r="A1153">
        <v>10037861</v>
      </c>
      <c r="B1153">
        <v>24256866</v>
      </c>
      <c r="C1153">
        <v>17</v>
      </c>
      <c r="D1153" s="1" t="s">
        <v>259</v>
      </c>
      <c r="E1153">
        <v>9</v>
      </c>
    </row>
    <row r="1154" spans="1:5" x14ac:dyDescent="0.2">
      <c r="A1154">
        <v>10037861</v>
      </c>
      <c r="B1154">
        <v>24256866</v>
      </c>
      <c r="C1154">
        <v>21</v>
      </c>
      <c r="D1154" s="1" t="s">
        <v>857</v>
      </c>
      <c r="E1154">
        <v>9</v>
      </c>
    </row>
    <row r="1155" spans="1:5" x14ac:dyDescent="0.2">
      <c r="A1155">
        <v>10037861</v>
      </c>
      <c r="B1155">
        <v>24256866</v>
      </c>
      <c r="C1155">
        <v>6</v>
      </c>
      <c r="D1155" s="1" t="s">
        <v>802</v>
      </c>
      <c r="E1155">
        <v>9</v>
      </c>
    </row>
    <row r="1156" spans="1:5" x14ac:dyDescent="0.2">
      <c r="A1156">
        <v>10037861</v>
      </c>
      <c r="B1156">
        <v>24256866</v>
      </c>
      <c r="C1156">
        <v>23</v>
      </c>
      <c r="D1156" s="1" t="s">
        <v>359</v>
      </c>
      <c r="E1156">
        <v>9</v>
      </c>
    </row>
    <row r="1157" spans="1:5" x14ac:dyDescent="0.2">
      <c r="A1157">
        <v>10037861</v>
      </c>
      <c r="B1157">
        <v>24256866</v>
      </c>
      <c r="C1157">
        <v>4</v>
      </c>
      <c r="D1157" s="1" t="s">
        <v>381</v>
      </c>
      <c r="E1157">
        <v>9</v>
      </c>
    </row>
    <row r="1158" spans="1:5" x14ac:dyDescent="0.2">
      <c r="A1158">
        <v>10037861</v>
      </c>
      <c r="B1158">
        <v>24256866</v>
      </c>
      <c r="C1158">
        <v>9</v>
      </c>
      <c r="D1158" s="1" t="s">
        <v>858</v>
      </c>
      <c r="E1158">
        <v>9</v>
      </c>
    </row>
    <row r="1159" spans="1:5" x14ac:dyDescent="0.2">
      <c r="A1159">
        <v>10037861</v>
      </c>
      <c r="B1159">
        <v>24256866</v>
      </c>
      <c r="C1159">
        <v>5</v>
      </c>
      <c r="D1159" s="1" t="s">
        <v>859</v>
      </c>
      <c r="E1159">
        <v>9</v>
      </c>
    </row>
    <row r="1160" spans="1:5" x14ac:dyDescent="0.2">
      <c r="A1160">
        <v>10037861</v>
      </c>
      <c r="B1160">
        <v>24256866</v>
      </c>
      <c r="C1160">
        <v>18</v>
      </c>
      <c r="D1160" s="1" t="s">
        <v>384</v>
      </c>
      <c r="E1160">
        <v>9</v>
      </c>
    </row>
    <row r="1161" spans="1:5" x14ac:dyDescent="0.2">
      <c r="A1161">
        <v>10037861</v>
      </c>
      <c r="B1161">
        <v>24256866</v>
      </c>
      <c r="C1161">
        <v>7</v>
      </c>
      <c r="D1161" s="1" t="s">
        <v>268</v>
      </c>
      <c r="E1161">
        <v>9</v>
      </c>
    </row>
    <row r="1162" spans="1:5" x14ac:dyDescent="0.2">
      <c r="A1162">
        <v>10037861</v>
      </c>
      <c r="B1162">
        <v>24256866</v>
      </c>
      <c r="C1162">
        <v>8</v>
      </c>
      <c r="D1162" s="1" t="s">
        <v>409</v>
      </c>
      <c r="E1162">
        <v>9</v>
      </c>
    </row>
    <row r="1163" spans="1:5" x14ac:dyDescent="0.2">
      <c r="A1163">
        <v>10037861</v>
      </c>
      <c r="B1163">
        <v>24256866</v>
      </c>
      <c r="C1163">
        <v>25</v>
      </c>
      <c r="D1163" s="1" t="s">
        <v>418</v>
      </c>
      <c r="E1163">
        <v>9</v>
      </c>
    </row>
    <row r="1164" spans="1:5" x14ac:dyDescent="0.2">
      <c r="A1164">
        <v>10037861</v>
      </c>
      <c r="B1164">
        <v>24256866</v>
      </c>
      <c r="C1164">
        <v>10</v>
      </c>
      <c r="D1164" s="1" t="s">
        <v>649</v>
      </c>
      <c r="E1164">
        <v>9</v>
      </c>
    </row>
    <row r="1165" spans="1:5" x14ac:dyDescent="0.2">
      <c r="A1165">
        <v>10037861</v>
      </c>
      <c r="B1165">
        <v>24256866</v>
      </c>
      <c r="C1165">
        <v>20</v>
      </c>
      <c r="D1165" s="1" t="s">
        <v>860</v>
      </c>
      <c r="E1165">
        <v>9</v>
      </c>
    </row>
    <row r="1166" spans="1:5" x14ac:dyDescent="0.2">
      <c r="A1166">
        <v>10037861</v>
      </c>
      <c r="B1166">
        <v>24256866</v>
      </c>
      <c r="C1166">
        <v>1</v>
      </c>
      <c r="D1166" s="1" t="s">
        <v>861</v>
      </c>
      <c r="E1166">
        <v>9</v>
      </c>
    </row>
    <row r="1167" spans="1:5" x14ac:dyDescent="0.2">
      <c r="A1167">
        <v>10037861</v>
      </c>
      <c r="B1167">
        <v>24256866</v>
      </c>
      <c r="C1167">
        <v>24</v>
      </c>
      <c r="D1167" s="1" t="s">
        <v>466</v>
      </c>
      <c r="E1167">
        <v>9</v>
      </c>
    </row>
    <row r="1168" spans="1:5" x14ac:dyDescent="0.2">
      <c r="A1168">
        <v>10037861</v>
      </c>
      <c r="B1168">
        <v>24256866</v>
      </c>
      <c r="C1168">
        <v>12</v>
      </c>
      <c r="D1168" s="1" t="s">
        <v>862</v>
      </c>
      <c r="E1168">
        <v>9</v>
      </c>
    </row>
    <row r="1169" spans="1:5" x14ac:dyDescent="0.2">
      <c r="A1169">
        <v>10037861</v>
      </c>
      <c r="B1169">
        <v>24256866</v>
      </c>
      <c r="C1169">
        <v>2</v>
      </c>
      <c r="D1169" s="1" t="s">
        <v>273</v>
      </c>
      <c r="E1169">
        <v>9</v>
      </c>
    </row>
    <row r="1170" spans="1:5" x14ac:dyDescent="0.2">
      <c r="A1170">
        <v>10037861</v>
      </c>
      <c r="B1170">
        <v>24540843</v>
      </c>
      <c r="C1170">
        <v>9</v>
      </c>
      <c r="D1170" s="1" t="s">
        <v>863</v>
      </c>
      <c r="E1170">
        <v>10</v>
      </c>
    </row>
    <row r="1171" spans="1:5" x14ac:dyDescent="0.2">
      <c r="A1171">
        <v>10037861</v>
      </c>
      <c r="B1171">
        <v>24540843</v>
      </c>
      <c r="C1171">
        <v>21</v>
      </c>
      <c r="D1171" s="1" t="s">
        <v>329</v>
      </c>
      <c r="E1171">
        <v>10</v>
      </c>
    </row>
    <row r="1172" spans="1:5" x14ac:dyDescent="0.2">
      <c r="A1172">
        <v>10037861</v>
      </c>
      <c r="B1172">
        <v>24540843</v>
      </c>
      <c r="C1172">
        <v>22</v>
      </c>
      <c r="D1172" s="1" t="s">
        <v>864</v>
      </c>
      <c r="E1172">
        <v>10</v>
      </c>
    </row>
    <row r="1173" spans="1:5" x14ac:dyDescent="0.2">
      <c r="A1173">
        <v>10037861</v>
      </c>
      <c r="B1173">
        <v>24540843</v>
      </c>
      <c r="C1173">
        <v>23</v>
      </c>
      <c r="D1173" s="1" t="s">
        <v>630</v>
      </c>
      <c r="E1173">
        <v>10</v>
      </c>
    </row>
    <row r="1174" spans="1:5" x14ac:dyDescent="0.2">
      <c r="A1174">
        <v>10037861</v>
      </c>
      <c r="B1174">
        <v>24540843</v>
      </c>
      <c r="C1174">
        <v>5</v>
      </c>
      <c r="D1174" s="1" t="s">
        <v>564</v>
      </c>
      <c r="E1174">
        <v>10</v>
      </c>
    </row>
    <row r="1175" spans="1:5" x14ac:dyDescent="0.2">
      <c r="A1175">
        <v>10037861</v>
      </c>
      <c r="B1175">
        <v>24540843</v>
      </c>
      <c r="C1175">
        <v>2</v>
      </c>
      <c r="D1175" s="1" t="s">
        <v>865</v>
      </c>
      <c r="E1175">
        <v>10</v>
      </c>
    </row>
    <row r="1176" spans="1:5" x14ac:dyDescent="0.2">
      <c r="A1176">
        <v>10037861</v>
      </c>
      <c r="B1176">
        <v>24540843</v>
      </c>
      <c r="C1176">
        <v>36</v>
      </c>
      <c r="D1176" s="1" t="s">
        <v>337</v>
      </c>
      <c r="E1176">
        <v>10</v>
      </c>
    </row>
    <row r="1177" spans="1:5" x14ac:dyDescent="0.2">
      <c r="A1177">
        <v>10037861</v>
      </c>
      <c r="B1177">
        <v>24540843</v>
      </c>
      <c r="C1177">
        <v>8</v>
      </c>
      <c r="D1177" s="1" t="s">
        <v>617</v>
      </c>
      <c r="E1177">
        <v>10</v>
      </c>
    </row>
    <row r="1178" spans="1:5" x14ac:dyDescent="0.2">
      <c r="A1178">
        <v>10037861</v>
      </c>
      <c r="B1178">
        <v>24540843</v>
      </c>
      <c r="C1178">
        <v>10</v>
      </c>
      <c r="D1178" s="1" t="s">
        <v>423</v>
      </c>
      <c r="E1178">
        <v>10</v>
      </c>
    </row>
    <row r="1179" spans="1:5" x14ac:dyDescent="0.2">
      <c r="A1179">
        <v>10037861</v>
      </c>
      <c r="B1179">
        <v>24540843</v>
      </c>
      <c r="C1179">
        <v>28</v>
      </c>
      <c r="D1179" s="1" t="s">
        <v>866</v>
      </c>
      <c r="E1179">
        <v>10</v>
      </c>
    </row>
    <row r="1180" spans="1:5" x14ac:dyDescent="0.2">
      <c r="A1180">
        <v>10037861</v>
      </c>
      <c r="B1180">
        <v>24540843</v>
      </c>
      <c r="C1180">
        <v>32</v>
      </c>
      <c r="D1180" s="1" t="s">
        <v>678</v>
      </c>
      <c r="E1180">
        <v>10</v>
      </c>
    </row>
    <row r="1181" spans="1:5" x14ac:dyDescent="0.2">
      <c r="A1181">
        <v>10037861</v>
      </c>
      <c r="B1181">
        <v>24540843</v>
      </c>
      <c r="C1181">
        <v>7</v>
      </c>
      <c r="D1181" s="1" t="s">
        <v>867</v>
      </c>
      <c r="E1181">
        <v>10</v>
      </c>
    </row>
    <row r="1182" spans="1:5" x14ac:dyDescent="0.2">
      <c r="A1182">
        <v>10037861</v>
      </c>
      <c r="B1182">
        <v>24540843</v>
      </c>
      <c r="C1182">
        <v>25</v>
      </c>
      <c r="D1182" s="1" t="s">
        <v>477</v>
      </c>
      <c r="E1182">
        <v>10</v>
      </c>
    </row>
    <row r="1183" spans="1:5" x14ac:dyDescent="0.2">
      <c r="A1183">
        <v>10037861</v>
      </c>
      <c r="B1183">
        <v>24540843</v>
      </c>
      <c r="C1183">
        <v>14</v>
      </c>
      <c r="D1183" s="1" t="s">
        <v>868</v>
      </c>
      <c r="E1183">
        <v>10</v>
      </c>
    </row>
    <row r="1184" spans="1:5" x14ac:dyDescent="0.2">
      <c r="A1184">
        <v>10037861</v>
      </c>
      <c r="B1184">
        <v>24540843</v>
      </c>
      <c r="C1184">
        <v>33</v>
      </c>
      <c r="D1184" s="1" t="s">
        <v>869</v>
      </c>
      <c r="E1184">
        <v>10</v>
      </c>
    </row>
    <row r="1185" spans="1:5" x14ac:dyDescent="0.2">
      <c r="A1185">
        <v>10037861</v>
      </c>
      <c r="B1185">
        <v>24540843</v>
      </c>
      <c r="C1185">
        <v>16</v>
      </c>
      <c r="D1185" s="1" t="s">
        <v>563</v>
      </c>
      <c r="E1185">
        <v>10</v>
      </c>
    </row>
    <row r="1186" spans="1:5" x14ac:dyDescent="0.2">
      <c r="A1186">
        <v>10037861</v>
      </c>
      <c r="B1186">
        <v>24540843</v>
      </c>
      <c r="C1186">
        <v>4</v>
      </c>
      <c r="D1186" s="1" t="s">
        <v>559</v>
      </c>
      <c r="E1186">
        <v>10</v>
      </c>
    </row>
    <row r="1187" spans="1:5" x14ac:dyDescent="0.2">
      <c r="A1187">
        <v>10037861</v>
      </c>
      <c r="B1187">
        <v>24540843</v>
      </c>
      <c r="C1187">
        <v>17</v>
      </c>
      <c r="D1187" s="1" t="s">
        <v>733</v>
      </c>
      <c r="E1187">
        <v>10</v>
      </c>
    </row>
    <row r="1188" spans="1:5" x14ac:dyDescent="0.2">
      <c r="A1188">
        <v>10037861</v>
      </c>
      <c r="B1188">
        <v>24540843</v>
      </c>
      <c r="C1188">
        <v>12</v>
      </c>
      <c r="D1188" s="1" t="s">
        <v>870</v>
      </c>
      <c r="E1188">
        <v>10</v>
      </c>
    </row>
    <row r="1189" spans="1:5" x14ac:dyDescent="0.2">
      <c r="A1189">
        <v>10037861</v>
      </c>
      <c r="B1189">
        <v>24540843</v>
      </c>
      <c r="C1189">
        <v>29</v>
      </c>
      <c r="D1189" s="1" t="s">
        <v>430</v>
      </c>
      <c r="E1189">
        <v>10</v>
      </c>
    </row>
    <row r="1190" spans="1:5" x14ac:dyDescent="0.2">
      <c r="A1190">
        <v>10037861</v>
      </c>
      <c r="B1190">
        <v>24540843</v>
      </c>
      <c r="C1190">
        <v>31</v>
      </c>
      <c r="D1190" s="1" t="s">
        <v>871</v>
      </c>
      <c r="E1190">
        <v>10</v>
      </c>
    </row>
    <row r="1191" spans="1:5" x14ac:dyDescent="0.2">
      <c r="A1191">
        <v>10037861</v>
      </c>
      <c r="B1191">
        <v>24540843</v>
      </c>
      <c r="C1191">
        <v>39</v>
      </c>
      <c r="D1191" s="1" t="s">
        <v>872</v>
      </c>
      <c r="E1191">
        <v>10</v>
      </c>
    </row>
    <row r="1192" spans="1:5" x14ac:dyDescent="0.2">
      <c r="A1192">
        <v>10037861</v>
      </c>
      <c r="B1192">
        <v>24540843</v>
      </c>
      <c r="C1192">
        <v>18</v>
      </c>
      <c r="D1192" s="1" t="s">
        <v>873</v>
      </c>
      <c r="E1192">
        <v>10</v>
      </c>
    </row>
    <row r="1193" spans="1:5" x14ac:dyDescent="0.2">
      <c r="A1193">
        <v>10037861</v>
      </c>
      <c r="B1193">
        <v>24540843</v>
      </c>
      <c r="C1193">
        <v>37</v>
      </c>
      <c r="D1193" s="1" t="s">
        <v>874</v>
      </c>
      <c r="E1193">
        <v>10</v>
      </c>
    </row>
    <row r="1194" spans="1:5" x14ac:dyDescent="0.2">
      <c r="A1194">
        <v>10037861</v>
      </c>
      <c r="B1194">
        <v>24540843</v>
      </c>
      <c r="C1194">
        <v>30</v>
      </c>
      <c r="D1194" s="1" t="s">
        <v>875</v>
      </c>
      <c r="E1194">
        <v>10</v>
      </c>
    </row>
    <row r="1195" spans="1:5" x14ac:dyDescent="0.2">
      <c r="A1195">
        <v>10037861</v>
      </c>
      <c r="B1195">
        <v>24540843</v>
      </c>
      <c r="C1195">
        <v>13</v>
      </c>
      <c r="D1195" s="1" t="s">
        <v>876</v>
      </c>
      <c r="E1195">
        <v>10</v>
      </c>
    </row>
    <row r="1196" spans="1:5" x14ac:dyDescent="0.2">
      <c r="A1196">
        <v>10037861</v>
      </c>
      <c r="B1196">
        <v>24540843</v>
      </c>
      <c r="C1196">
        <v>20</v>
      </c>
      <c r="D1196" s="1" t="s">
        <v>446</v>
      </c>
      <c r="E1196">
        <v>10</v>
      </c>
    </row>
    <row r="1197" spans="1:5" x14ac:dyDescent="0.2">
      <c r="A1197">
        <v>10037861</v>
      </c>
      <c r="B1197">
        <v>24540843</v>
      </c>
      <c r="C1197">
        <v>24</v>
      </c>
      <c r="D1197" s="1" t="s">
        <v>335</v>
      </c>
      <c r="E1197">
        <v>10</v>
      </c>
    </row>
    <row r="1198" spans="1:5" x14ac:dyDescent="0.2">
      <c r="A1198">
        <v>10037861</v>
      </c>
      <c r="B1198">
        <v>24540843</v>
      </c>
      <c r="C1198">
        <v>35</v>
      </c>
      <c r="D1198" s="1" t="s">
        <v>605</v>
      </c>
      <c r="E1198">
        <v>10</v>
      </c>
    </row>
    <row r="1199" spans="1:5" x14ac:dyDescent="0.2">
      <c r="A1199">
        <v>10037861</v>
      </c>
      <c r="B1199">
        <v>24540843</v>
      </c>
      <c r="C1199">
        <v>38</v>
      </c>
      <c r="D1199" s="1" t="s">
        <v>877</v>
      </c>
      <c r="E1199">
        <v>10</v>
      </c>
    </row>
    <row r="1200" spans="1:5" x14ac:dyDescent="0.2">
      <c r="A1200">
        <v>10037861</v>
      </c>
      <c r="B1200">
        <v>24540843</v>
      </c>
      <c r="C1200">
        <v>15</v>
      </c>
      <c r="D1200" s="1" t="s">
        <v>878</v>
      </c>
      <c r="E1200">
        <v>10</v>
      </c>
    </row>
    <row r="1201" spans="1:5" x14ac:dyDescent="0.2">
      <c r="A1201">
        <v>10037861</v>
      </c>
      <c r="B1201">
        <v>24540843</v>
      </c>
      <c r="C1201">
        <v>11</v>
      </c>
      <c r="D1201" s="1" t="s">
        <v>624</v>
      </c>
      <c r="E1201">
        <v>10</v>
      </c>
    </row>
    <row r="1202" spans="1:5" x14ac:dyDescent="0.2">
      <c r="A1202">
        <v>10037861</v>
      </c>
      <c r="B1202">
        <v>24540843</v>
      </c>
      <c r="C1202">
        <v>19</v>
      </c>
      <c r="D1202" s="1" t="s">
        <v>324</v>
      </c>
      <c r="E1202">
        <v>10</v>
      </c>
    </row>
    <row r="1203" spans="1:5" x14ac:dyDescent="0.2">
      <c r="A1203">
        <v>10037861</v>
      </c>
      <c r="B1203">
        <v>24540843</v>
      </c>
      <c r="C1203">
        <v>3</v>
      </c>
      <c r="D1203" s="1" t="s">
        <v>609</v>
      </c>
      <c r="E1203">
        <v>10</v>
      </c>
    </row>
    <row r="1204" spans="1:5" x14ac:dyDescent="0.2">
      <c r="A1204">
        <v>10037861</v>
      </c>
      <c r="B1204">
        <v>24540843</v>
      </c>
      <c r="C1204">
        <v>26</v>
      </c>
      <c r="D1204" s="1" t="s">
        <v>762</v>
      </c>
      <c r="E1204">
        <v>10</v>
      </c>
    </row>
    <row r="1205" spans="1:5" x14ac:dyDescent="0.2">
      <c r="A1205">
        <v>10037861</v>
      </c>
      <c r="B1205">
        <v>24540843</v>
      </c>
      <c r="C1205">
        <v>34</v>
      </c>
      <c r="D1205" s="1" t="s">
        <v>629</v>
      </c>
      <c r="E1205">
        <v>10</v>
      </c>
    </row>
    <row r="1206" spans="1:5" x14ac:dyDescent="0.2">
      <c r="A1206">
        <v>10037861</v>
      </c>
      <c r="B1206">
        <v>24540843</v>
      </c>
      <c r="C1206">
        <v>27</v>
      </c>
      <c r="D1206" s="1" t="s">
        <v>331</v>
      </c>
      <c r="E1206">
        <v>10</v>
      </c>
    </row>
    <row r="1207" spans="1:5" x14ac:dyDescent="0.2">
      <c r="A1207">
        <v>10037861</v>
      </c>
      <c r="B1207">
        <v>24540843</v>
      </c>
      <c r="C1207">
        <v>6</v>
      </c>
      <c r="D1207" s="1" t="s">
        <v>879</v>
      </c>
      <c r="E1207">
        <v>10</v>
      </c>
    </row>
    <row r="1208" spans="1:5" x14ac:dyDescent="0.2">
      <c r="A1208">
        <v>10037861</v>
      </c>
      <c r="B1208">
        <v>24540843</v>
      </c>
      <c r="C1208">
        <v>1</v>
      </c>
      <c r="D1208" s="1" t="s">
        <v>880</v>
      </c>
      <c r="E1208">
        <v>10</v>
      </c>
    </row>
    <row r="1209" spans="1:5" x14ac:dyDescent="0.2">
      <c r="A1209">
        <v>10010471</v>
      </c>
      <c r="B1209">
        <v>21322534</v>
      </c>
      <c r="C1209">
        <v>4</v>
      </c>
      <c r="D1209" s="1" t="s">
        <v>881</v>
      </c>
      <c r="E1209">
        <v>10</v>
      </c>
    </row>
    <row r="1210" spans="1:5" x14ac:dyDescent="0.2">
      <c r="A1210">
        <v>10010471</v>
      </c>
      <c r="B1210">
        <v>21322534</v>
      </c>
      <c r="C1210">
        <v>2</v>
      </c>
      <c r="D1210" s="1" t="s">
        <v>882</v>
      </c>
      <c r="E1210">
        <v>10</v>
      </c>
    </row>
    <row r="1211" spans="1:5" x14ac:dyDescent="0.2">
      <c r="A1211">
        <v>10010471</v>
      </c>
      <c r="B1211">
        <v>21322534</v>
      </c>
      <c r="C1211">
        <v>12</v>
      </c>
      <c r="D1211" s="1" t="s">
        <v>560</v>
      </c>
      <c r="E1211">
        <v>10</v>
      </c>
    </row>
    <row r="1212" spans="1:5" x14ac:dyDescent="0.2">
      <c r="A1212">
        <v>10010471</v>
      </c>
      <c r="B1212">
        <v>21322534</v>
      </c>
      <c r="C1212">
        <v>11</v>
      </c>
      <c r="D1212" s="1" t="s">
        <v>883</v>
      </c>
      <c r="E1212">
        <v>10</v>
      </c>
    </row>
    <row r="1213" spans="1:5" x14ac:dyDescent="0.2">
      <c r="A1213">
        <v>10010471</v>
      </c>
      <c r="B1213">
        <v>21322534</v>
      </c>
      <c r="C1213">
        <v>6</v>
      </c>
      <c r="D1213" s="1" t="s">
        <v>558</v>
      </c>
      <c r="E1213">
        <v>10</v>
      </c>
    </row>
    <row r="1214" spans="1:5" x14ac:dyDescent="0.2">
      <c r="A1214">
        <v>10010471</v>
      </c>
      <c r="B1214">
        <v>21322534</v>
      </c>
      <c r="C1214">
        <v>7</v>
      </c>
      <c r="D1214" s="1" t="s">
        <v>884</v>
      </c>
      <c r="E1214">
        <v>10</v>
      </c>
    </row>
    <row r="1215" spans="1:5" x14ac:dyDescent="0.2">
      <c r="A1215">
        <v>10010471</v>
      </c>
      <c r="B1215">
        <v>21322534</v>
      </c>
      <c r="C1215">
        <v>3</v>
      </c>
      <c r="D1215" s="1" t="s">
        <v>561</v>
      </c>
      <c r="E1215">
        <v>10</v>
      </c>
    </row>
    <row r="1216" spans="1:5" x14ac:dyDescent="0.2">
      <c r="A1216">
        <v>10010471</v>
      </c>
      <c r="B1216">
        <v>21322534</v>
      </c>
      <c r="C1216">
        <v>14</v>
      </c>
      <c r="D1216" s="1" t="s">
        <v>885</v>
      </c>
      <c r="E1216">
        <v>10</v>
      </c>
    </row>
    <row r="1217" spans="1:5" x14ac:dyDescent="0.2">
      <c r="A1217">
        <v>10010471</v>
      </c>
      <c r="B1217">
        <v>21322534</v>
      </c>
      <c r="C1217">
        <v>13</v>
      </c>
      <c r="D1217" s="1" t="s">
        <v>886</v>
      </c>
      <c r="E1217">
        <v>10</v>
      </c>
    </row>
    <row r="1218" spans="1:5" x14ac:dyDescent="0.2">
      <c r="A1218">
        <v>10010471</v>
      </c>
      <c r="B1218">
        <v>21322534</v>
      </c>
      <c r="C1218">
        <v>15</v>
      </c>
      <c r="D1218" s="1" t="s">
        <v>887</v>
      </c>
      <c r="E1218">
        <v>10</v>
      </c>
    </row>
    <row r="1219" spans="1:5" x14ac:dyDescent="0.2">
      <c r="A1219">
        <v>10010471</v>
      </c>
      <c r="B1219">
        <v>21322534</v>
      </c>
      <c r="C1219">
        <v>1</v>
      </c>
      <c r="D1219" s="1" t="s">
        <v>324</v>
      </c>
      <c r="E1219">
        <v>10</v>
      </c>
    </row>
    <row r="1220" spans="1:5" x14ac:dyDescent="0.2">
      <c r="A1220">
        <v>10010471</v>
      </c>
      <c r="B1220">
        <v>21322534</v>
      </c>
      <c r="C1220">
        <v>8</v>
      </c>
      <c r="D1220" s="1" t="s">
        <v>335</v>
      </c>
      <c r="E1220">
        <v>10</v>
      </c>
    </row>
    <row r="1221" spans="1:5" x14ac:dyDescent="0.2">
      <c r="A1221">
        <v>10010471</v>
      </c>
      <c r="B1221">
        <v>21322534</v>
      </c>
      <c r="C1221">
        <v>9</v>
      </c>
      <c r="D1221" s="1" t="s">
        <v>888</v>
      </c>
      <c r="E1221">
        <v>10</v>
      </c>
    </row>
    <row r="1222" spans="1:5" x14ac:dyDescent="0.2">
      <c r="A1222">
        <v>10010471</v>
      </c>
      <c r="B1222">
        <v>21322534</v>
      </c>
      <c r="C1222">
        <v>16</v>
      </c>
      <c r="D1222" s="1" t="s">
        <v>889</v>
      </c>
      <c r="E1222">
        <v>10</v>
      </c>
    </row>
    <row r="1223" spans="1:5" x14ac:dyDescent="0.2">
      <c r="A1223">
        <v>10010471</v>
      </c>
      <c r="B1223">
        <v>21322534</v>
      </c>
      <c r="C1223">
        <v>10</v>
      </c>
      <c r="D1223" s="1" t="s">
        <v>890</v>
      </c>
      <c r="E1223">
        <v>10</v>
      </c>
    </row>
    <row r="1224" spans="1:5" x14ac:dyDescent="0.2">
      <c r="A1224">
        <v>10010471</v>
      </c>
      <c r="B1224">
        <v>21322534</v>
      </c>
      <c r="C1224">
        <v>5</v>
      </c>
      <c r="D1224" s="1" t="s">
        <v>891</v>
      </c>
      <c r="E1224">
        <v>10</v>
      </c>
    </row>
    <row r="1225" spans="1:5" x14ac:dyDescent="0.2">
      <c r="A1225">
        <v>10010471</v>
      </c>
      <c r="B1225">
        <v>29842315</v>
      </c>
      <c r="C1225">
        <v>19</v>
      </c>
      <c r="D1225" s="1" t="s">
        <v>430</v>
      </c>
      <c r="E1225">
        <v>10</v>
      </c>
    </row>
    <row r="1226" spans="1:5" x14ac:dyDescent="0.2">
      <c r="A1226">
        <v>10010471</v>
      </c>
      <c r="B1226">
        <v>29842315</v>
      </c>
      <c r="C1226">
        <v>1</v>
      </c>
      <c r="D1226" s="1" t="s">
        <v>520</v>
      </c>
      <c r="E1226">
        <v>10</v>
      </c>
    </row>
    <row r="1227" spans="1:5" x14ac:dyDescent="0.2">
      <c r="A1227">
        <v>10010471</v>
      </c>
      <c r="B1227">
        <v>29842315</v>
      </c>
      <c r="C1227">
        <v>11</v>
      </c>
      <c r="D1227" s="1" t="s">
        <v>732</v>
      </c>
      <c r="E1227">
        <v>10</v>
      </c>
    </row>
    <row r="1228" spans="1:5" x14ac:dyDescent="0.2">
      <c r="A1228">
        <v>10010471</v>
      </c>
      <c r="B1228">
        <v>29842315</v>
      </c>
      <c r="C1228">
        <v>12</v>
      </c>
      <c r="D1228" s="1" t="s">
        <v>558</v>
      </c>
      <c r="E1228">
        <v>10</v>
      </c>
    </row>
    <row r="1229" spans="1:5" x14ac:dyDescent="0.2">
      <c r="A1229">
        <v>10010471</v>
      </c>
      <c r="B1229">
        <v>29842315</v>
      </c>
      <c r="C1229">
        <v>8</v>
      </c>
      <c r="D1229" s="1" t="s">
        <v>892</v>
      </c>
      <c r="E1229">
        <v>10</v>
      </c>
    </row>
    <row r="1230" spans="1:5" x14ac:dyDescent="0.2">
      <c r="A1230">
        <v>10010471</v>
      </c>
      <c r="B1230">
        <v>29842315</v>
      </c>
      <c r="C1230">
        <v>30</v>
      </c>
      <c r="D1230" s="1" t="s">
        <v>755</v>
      </c>
      <c r="E1230">
        <v>10</v>
      </c>
    </row>
    <row r="1231" spans="1:5" x14ac:dyDescent="0.2">
      <c r="A1231">
        <v>10010471</v>
      </c>
      <c r="B1231">
        <v>29842315</v>
      </c>
      <c r="C1231">
        <v>2</v>
      </c>
      <c r="D1231" s="1" t="s">
        <v>882</v>
      </c>
      <c r="E1231">
        <v>10</v>
      </c>
    </row>
    <row r="1232" spans="1:5" x14ac:dyDescent="0.2">
      <c r="A1232">
        <v>10010471</v>
      </c>
      <c r="B1232">
        <v>29842315</v>
      </c>
      <c r="C1232">
        <v>26</v>
      </c>
      <c r="D1232" s="1" t="s">
        <v>893</v>
      </c>
      <c r="E1232">
        <v>10</v>
      </c>
    </row>
    <row r="1233" spans="1:5" x14ac:dyDescent="0.2">
      <c r="A1233">
        <v>10010471</v>
      </c>
      <c r="B1233">
        <v>29842315</v>
      </c>
      <c r="C1233">
        <v>14</v>
      </c>
      <c r="D1233" s="1" t="s">
        <v>894</v>
      </c>
      <c r="E1233">
        <v>10</v>
      </c>
    </row>
    <row r="1234" spans="1:5" x14ac:dyDescent="0.2">
      <c r="A1234">
        <v>10010471</v>
      </c>
      <c r="B1234">
        <v>29842315</v>
      </c>
      <c r="C1234">
        <v>21</v>
      </c>
      <c r="D1234" s="1" t="s">
        <v>895</v>
      </c>
      <c r="E1234">
        <v>10</v>
      </c>
    </row>
    <row r="1235" spans="1:5" x14ac:dyDescent="0.2">
      <c r="A1235">
        <v>10010471</v>
      </c>
      <c r="B1235">
        <v>29842315</v>
      </c>
      <c r="C1235">
        <v>23</v>
      </c>
      <c r="D1235" s="1" t="s">
        <v>884</v>
      </c>
      <c r="E1235">
        <v>10</v>
      </c>
    </row>
    <row r="1236" spans="1:5" x14ac:dyDescent="0.2">
      <c r="A1236">
        <v>10010471</v>
      </c>
      <c r="B1236">
        <v>29842315</v>
      </c>
      <c r="C1236">
        <v>6</v>
      </c>
      <c r="D1236" s="1" t="s">
        <v>896</v>
      </c>
      <c r="E1236">
        <v>10</v>
      </c>
    </row>
    <row r="1237" spans="1:5" x14ac:dyDescent="0.2">
      <c r="A1237">
        <v>10010471</v>
      </c>
      <c r="B1237">
        <v>29842315</v>
      </c>
      <c r="C1237">
        <v>5</v>
      </c>
      <c r="D1237" s="1" t="s">
        <v>897</v>
      </c>
      <c r="E1237">
        <v>10</v>
      </c>
    </row>
    <row r="1238" spans="1:5" x14ac:dyDescent="0.2">
      <c r="A1238">
        <v>10010471</v>
      </c>
      <c r="B1238">
        <v>29842315</v>
      </c>
      <c r="C1238">
        <v>29</v>
      </c>
      <c r="D1238" s="1" t="s">
        <v>760</v>
      </c>
      <c r="E1238">
        <v>10</v>
      </c>
    </row>
    <row r="1239" spans="1:5" x14ac:dyDescent="0.2">
      <c r="A1239">
        <v>10010471</v>
      </c>
      <c r="B1239">
        <v>29842315</v>
      </c>
      <c r="C1239">
        <v>3</v>
      </c>
      <c r="D1239" s="1" t="s">
        <v>898</v>
      </c>
      <c r="E1239">
        <v>10</v>
      </c>
    </row>
    <row r="1240" spans="1:5" x14ac:dyDescent="0.2">
      <c r="A1240">
        <v>10010471</v>
      </c>
      <c r="B1240">
        <v>29842315</v>
      </c>
      <c r="C1240">
        <v>17</v>
      </c>
      <c r="D1240" s="1" t="s">
        <v>560</v>
      </c>
      <c r="E1240">
        <v>10</v>
      </c>
    </row>
    <row r="1241" spans="1:5" x14ac:dyDescent="0.2">
      <c r="A1241">
        <v>10010471</v>
      </c>
      <c r="B1241">
        <v>29842315</v>
      </c>
      <c r="C1241">
        <v>10</v>
      </c>
      <c r="D1241" s="1" t="s">
        <v>761</v>
      </c>
      <c r="E1241">
        <v>10</v>
      </c>
    </row>
    <row r="1242" spans="1:5" x14ac:dyDescent="0.2">
      <c r="A1242">
        <v>10010471</v>
      </c>
      <c r="B1242">
        <v>29842315</v>
      </c>
      <c r="C1242">
        <v>4</v>
      </c>
      <c r="D1242" s="1" t="s">
        <v>899</v>
      </c>
      <c r="E1242">
        <v>10</v>
      </c>
    </row>
    <row r="1243" spans="1:5" x14ac:dyDescent="0.2">
      <c r="A1243">
        <v>10010471</v>
      </c>
      <c r="B1243">
        <v>29842315</v>
      </c>
      <c r="C1243">
        <v>24</v>
      </c>
      <c r="D1243" s="1" t="s">
        <v>605</v>
      </c>
      <c r="E1243">
        <v>10</v>
      </c>
    </row>
    <row r="1244" spans="1:5" x14ac:dyDescent="0.2">
      <c r="A1244">
        <v>10010471</v>
      </c>
      <c r="B1244">
        <v>29842315</v>
      </c>
      <c r="C1244">
        <v>15</v>
      </c>
      <c r="D1244" s="1" t="s">
        <v>329</v>
      </c>
      <c r="E1244">
        <v>10</v>
      </c>
    </row>
    <row r="1245" spans="1:5" x14ac:dyDescent="0.2">
      <c r="A1245">
        <v>10010471</v>
      </c>
      <c r="B1245">
        <v>29842315</v>
      </c>
      <c r="C1245">
        <v>7</v>
      </c>
      <c r="D1245" s="1" t="s">
        <v>325</v>
      </c>
      <c r="E1245">
        <v>10</v>
      </c>
    </row>
    <row r="1246" spans="1:5" x14ac:dyDescent="0.2">
      <c r="A1246">
        <v>10010471</v>
      </c>
      <c r="B1246">
        <v>29842315</v>
      </c>
      <c r="C1246">
        <v>16</v>
      </c>
      <c r="D1246" s="1" t="s">
        <v>335</v>
      </c>
      <c r="E1246">
        <v>10</v>
      </c>
    </row>
    <row r="1247" spans="1:5" x14ac:dyDescent="0.2">
      <c r="A1247">
        <v>10010471</v>
      </c>
      <c r="B1247">
        <v>29842315</v>
      </c>
      <c r="C1247">
        <v>27</v>
      </c>
      <c r="D1247" s="1" t="s">
        <v>733</v>
      </c>
      <c r="E1247">
        <v>10</v>
      </c>
    </row>
    <row r="1248" spans="1:5" x14ac:dyDescent="0.2">
      <c r="A1248">
        <v>10010471</v>
      </c>
      <c r="B1248">
        <v>29842315</v>
      </c>
      <c r="C1248">
        <v>28</v>
      </c>
      <c r="D1248" s="1" t="s">
        <v>900</v>
      </c>
      <c r="E1248">
        <v>10</v>
      </c>
    </row>
    <row r="1249" spans="1:5" x14ac:dyDescent="0.2">
      <c r="A1249">
        <v>10010471</v>
      </c>
      <c r="B1249">
        <v>29842315</v>
      </c>
      <c r="C1249">
        <v>13</v>
      </c>
      <c r="D1249" s="1" t="s">
        <v>901</v>
      </c>
      <c r="E1249">
        <v>10</v>
      </c>
    </row>
    <row r="1250" spans="1:5" x14ac:dyDescent="0.2">
      <c r="A1250">
        <v>10010471</v>
      </c>
      <c r="B1250">
        <v>29842315</v>
      </c>
      <c r="C1250">
        <v>25</v>
      </c>
      <c r="D1250" s="1" t="s">
        <v>902</v>
      </c>
      <c r="E1250">
        <v>10</v>
      </c>
    </row>
    <row r="1251" spans="1:5" x14ac:dyDescent="0.2">
      <c r="A1251">
        <v>10010471</v>
      </c>
      <c r="B1251">
        <v>29842315</v>
      </c>
      <c r="C1251">
        <v>9</v>
      </c>
      <c r="D1251" s="1" t="s">
        <v>903</v>
      </c>
      <c r="E1251">
        <v>10</v>
      </c>
    </row>
    <row r="1252" spans="1:5" x14ac:dyDescent="0.2">
      <c r="A1252">
        <v>10010471</v>
      </c>
      <c r="B1252">
        <v>29842315</v>
      </c>
      <c r="C1252">
        <v>20</v>
      </c>
      <c r="D1252" s="1" t="s">
        <v>438</v>
      </c>
      <c r="E1252">
        <v>10</v>
      </c>
    </row>
    <row r="1253" spans="1:5" x14ac:dyDescent="0.2">
      <c r="A1253">
        <v>10010471</v>
      </c>
      <c r="B1253">
        <v>29842315</v>
      </c>
      <c r="C1253">
        <v>18</v>
      </c>
      <c r="D1253" s="1" t="s">
        <v>886</v>
      </c>
      <c r="E1253">
        <v>10</v>
      </c>
    </row>
    <row r="1254" spans="1:5" x14ac:dyDescent="0.2">
      <c r="A1254">
        <v>10010471</v>
      </c>
      <c r="B1254">
        <v>29842315</v>
      </c>
      <c r="C1254">
        <v>22</v>
      </c>
      <c r="D1254" s="1" t="s">
        <v>883</v>
      </c>
      <c r="E1254">
        <v>10</v>
      </c>
    </row>
    <row r="1255" spans="1:5" x14ac:dyDescent="0.2">
      <c r="A1255">
        <v>10005866</v>
      </c>
      <c r="B1255">
        <v>27167814</v>
      </c>
      <c r="C1255">
        <v>18</v>
      </c>
      <c r="D1255" s="1" t="s">
        <v>904</v>
      </c>
      <c r="E1255">
        <v>10</v>
      </c>
    </row>
    <row r="1256" spans="1:5" x14ac:dyDescent="0.2">
      <c r="A1256">
        <v>10005866</v>
      </c>
      <c r="B1256">
        <v>27167814</v>
      </c>
      <c r="C1256">
        <v>7</v>
      </c>
      <c r="D1256" s="1" t="s">
        <v>334</v>
      </c>
      <c r="E1256">
        <v>10</v>
      </c>
    </row>
    <row r="1257" spans="1:5" x14ac:dyDescent="0.2">
      <c r="A1257">
        <v>10005866</v>
      </c>
      <c r="B1257">
        <v>27167814</v>
      </c>
      <c r="C1257">
        <v>17</v>
      </c>
      <c r="D1257" s="1" t="s">
        <v>905</v>
      </c>
      <c r="E1257">
        <v>10</v>
      </c>
    </row>
    <row r="1258" spans="1:5" x14ac:dyDescent="0.2">
      <c r="A1258">
        <v>10005866</v>
      </c>
      <c r="B1258">
        <v>27167814</v>
      </c>
      <c r="C1258">
        <v>1</v>
      </c>
      <c r="D1258" s="1" t="s">
        <v>906</v>
      </c>
      <c r="E1258">
        <v>10</v>
      </c>
    </row>
    <row r="1259" spans="1:5" x14ac:dyDescent="0.2">
      <c r="A1259">
        <v>10005866</v>
      </c>
      <c r="B1259">
        <v>27167814</v>
      </c>
      <c r="C1259">
        <v>8</v>
      </c>
      <c r="D1259" s="1" t="s">
        <v>907</v>
      </c>
      <c r="E1259">
        <v>10</v>
      </c>
    </row>
    <row r="1260" spans="1:5" x14ac:dyDescent="0.2">
      <c r="A1260">
        <v>10005866</v>
      </c>
      <c r="B1260">
        <v>27167814</v>
      </c>
      <c r="C1260">
        <v>11</v>
      </c>
      <c r="D1260" s="1" t="s">
        <v>908</v>
      </c>
      <c r="E1260">
        <v>10</v>
      </c>
    </row>
    <row r="1261" spans="1:5" x14ac:dyDescent="0.2">
      <c r="A1261">
        <v>10005866</v>
      </c>
      <c r="B1261">
        <v>27167814</v>
      </c>
      <c r="C1261">
        <v>3</v>
      </c>
      <c r="D1261" s="1" t="s">
        <v>561</v>
      </c>
      <c r="E1261">
        <v>10</v>
      </c>
    </row>
    <row r="1262" spans="1:5" x14ac:dyDescent="0.2">
      <c r="A1262">
        <v>10005866</v>
      </c>
      <c r="B1262">
        <v>27167814</v>
      </c>
      <c r="C1262">
        <v>6</v>
      </c>
      <c r="D1262" s="1" t="s">
        <v>909</v>
      </c>
      <c r="E1262">
        <v>10</v>
      </c>
    </row>
    <row r="1263" spans="1:5" x14ac:dyDescent="0.2">
      <c r="A1263">
        <v>10005866</v>
      </c>
      <c r="B1263">
        <v>27167814</v>
      </c>
      <c r="C1263">
        <v>9</v>
      </c>
      <c r="D1263" s="1" t="s">
        <v>910</v>
      </c>
      <c r="E1263">
        <v>10</v>
      </c>
    </row>
    <row r="1264" spans="1:5" x14ac:dyDescent="0.2">
      <c r="A1264">
        <v>10005866</v>
      </c>
      <c r="B1264">
        <v>27167814</v>
      </c>
      <c r="C1264">
        <v>13</v>
      </c>
      <c r="D1264" s="1" t="s">
        <v>574</v>
      </c>
      <c r="E1264">
        <v>10</v>
      </c>
    </row>
    <row r="1265" spans="1:5" x14ac:dyDescent="0.2">
      <c r="A1265">
        <v>10005866</v>
      </c>
      <c r="B1265">
        <v>27167814</v>
      </c>
      <c r="C1265">
        <v>4</v>
      </c>
      <c r="D1265" s="1" t="s">
        <v>911</v>
      </c>
      <c r="E1265">
        <v>10</v>
      </c>
    </row>
    <row r="1266" spans="1:5" x14ac:dyDescent="0.2">
      <c r="A1266">
        <v>10005866</v>
      </c>
      <c r="B1266">
        <v>27167814</v>
      </c>
      <c r="C1266">
        <v>10</v>
      </c>
      <c r="D1266" s="1" t="s">
        <v>912</v>
      </c>
      <c r="E1266">
        <v>10</v>
      </c>
    </row>
    <row r="1267" spans="1:5" x14ac:dyDescent="0.2">
      <c r="A1267">
        <v>10005866</v>
      </c>
      <c r="B1267">
        <v>27167814</v>
      </c>
      <c r="C1267">
        <v>12</v>
      </c>
      <c r="D1267" s="1" t="s">
        <v>913</v>
      </c>
      <c r="E1267">
        <v>10</v>
      </c>
    </row>
    <row r="1268" spans="1:5" x14ac:dyDescent="0.2">
      <c r="A1268">
        <v>10005866</v>
      </c>
      <c r="B1268">
        <v>27167814</v>
      </c>
      <c r="C1268">
        <v>5</v>
      </c>
      <c r="D1268" s="1" t="s">
        <v>626</v>
      </c>
      <c r="E1268">
        <v>10</v>
      </c>
    </row>
    <row r="1269" spans="1:5" x14ac:dyDescent="0.2">
      <c r="A1269">
        <v>10005866</v>
      </c>
      <c r="B1269">
        <v>27167814</v>
      </c>
      <c r="C1269">
        <v>15</v>
      </c>
      <c r="D1269" s="1" t="s">
        <v>570</v>
      </c>
      <c r="E1269">
        <v>10</v>
      </c>
    </row>
    <row r="1270" spans="1:5" x14ac:dyDescent="0.2">
      <c r="A1270">
        <v>10005866</v>
      </c>
      <c r="B1270">
        <v>27167814</v>
      </c>
      <c r="C1270">
        <v>2</v>
      </c>
      <c r="D1270" s="1" t="s">
        <v>615</v>
      </c>
      <c r="E1270">
        <v>10</v>
      </c>
    </row>
    <row r="1271" spans="1:5" x14ac:dyDescent="0.2">
      <c r="A1271">
        <v>10005866</v>
      </c>
      <c r="B1271">
        <v>27167814</v>
      </c>
      <c r="C1271">
        <v>14</v>
      </c>
      <c r="D1271" s="1" t="s">
        <v>309</v>
      </c>
      <c r="E1271">
        <v>10</v>
      </c>
    </row>
    <row r="1272" spans="1:5" x14ac:dyDescent="0.2">
      <c r="A1272">
        <v>10005866</v>
      </c>
      <c r="B1272">
        <v>27167814</v>
      </c>
      <c r="C1272">
        <v>16</v>
      </c>
      <c r="D1272" s="1" t="s">
        <v>755</v>
      </c>
      <c r="E1272">
        <v>10</v>
      </c>
    </row>
    <row r="1273" spans="1:5" x14ac:dyDescent="0.2">
      <c r="A1273">
        <v>10005866</v>
      </c>
      <c r="B1273">
        <v>22589518</v>
      </c>
      <c r="C1273">
        <v>4</v>
      </c>
      <c r="D1273" s="1" t="s">
        <v>625</v>
      </c>
      <c r="E1273">
        <v>10</v>
      </c>
    </row>
    <row r="1274" spans="1:5" x14ac:dyDescent="0.2">
      <c r="A1274">
        <v>10005866</v>
      </c>
      <c r="B1274">
        <v>22589518</v>
      </c>
      <c r="C1274">
        <v>3</v>
      </c>
      <c r="D1274" s="1" t="s">
        <v>611</v>
      </c>
      <c r="E1274">
        <v>10</v>
      </c>
    </row>
    <row r="1275" spans="1:5" x14ac:dyDescent="0.2">
      <c r="A1275">
        <v>10005866</v>
      </c>
      <c r="B1275">
        <v>22589518</v>
      </c>
      <c r="C1275">
        <v>6</v>
      </c>
      <c r="D1275" s="1" t="s">
        <v>429</v>
      </c>
      <c r="E1275">
        <v>10</v>
      </c>
    </row>
    <row r="1276" spans="1:5" x14ac:dyDescent="0.2">
      <c r="A1276">
        <v>10005866</v>
      </c>
      <c r="B1276">
        <v>22589518</v>
      </c>
      <c r="C1276">
        <v>9</v>
      </c>
      <c r="D1276" s="1" t="s">
        <v>914</v>
      </c>
      <c r="E1276">
        <v>10</v>
      </c>
    </row>
    <row r="1277" spans="1:5" x14ac:dyDescent="0.2">
      <c r="A1277">
        <v>10005866</v>
      </c>
      <c r="B1277">
        <v>22589518</v>
      </c>
      <c r="C1277">
        <v>8</v>
      </c>
      <c r="D1277" s="1" t="s">
        <v>915</v>
      </c>
      <c r="E1277">
        <v>10</v>
      </c>
    </row>
    <row r="1278" spans="1:5" x14ac:dyDescent="0.2">
      <c r="A1278">
        <v>10005866</v>
      </c>
      <c r="B1278">
        <v>22589518</v>
      </c>
      <c r="C1278">
        <v>1</v>
      </c>
      <c r="D1278" s="1" t="s">
        <v>916</v>
      </c>
      <c r="E1278">
        <v>10</v>
      </c>
    </row>
    <row r="1279" spans="1:5" x14ac:dyDescent="0.2">
      <c r="A1279">
        <v>10005866</v>
      </c>
      <c r="B1279">
        <v>22589518</v>
      </c>
      <c r="C1279">
        <v>5</v>
      </c>
      <c r="D1279" s="1" t="s">
        <v>626</v>
      </c>
      <c r="E1279">
        <v>10</v>
      </c>
    </row>
    <row r="1280" spans="1:5" x14ac:dyDescent="0.2">
      <c r="A1280">
        <v>10005866</v>
      </c>
      <c r="B1280">
        <v>22589518</v>
      </c>
      <c r="C1280">
        <v>7</v>
      </c>
      <c r="D1280" s="1" t="s">
        <v>622</v>
      </c>
      <c r="E1280">
        <v>10</v>
      </c>
    </row>
    <row r="1281" spans="1:5" x14ac:dyDescent="0.2">
      <c r="A1281">
        <v>10005866</v>
      </c>
      <c r="B1281">
        <v>22589518</v>
      </c>
      <c r="C1281">
        <v>2</v>
      </c>
      <c r="D1281" s="1" t="s">
        <v>917</v>
      </c>
      <c r="E1281">
        <v>10</v>
      </c>
    </row>
    <row r="1282" spans="1:5" x14ac:dyDescent="0.2">
      <c r="A1282">
        <v>10005866</v>
      </c>
      <c r="B1282">
        <v>26158160</v>
      </c>
      <c r="C1282">
        <v>8</v>
      </c>
      <c r="D1282" s="1" t="s">
        <v>918</v>
      </c>
      <c r="E1282">
        <v>9</v>
      </c>
    </row>
    <row r="1283" spans="1:5" x14ac:dyDescent="0.2">
      <c r="A1283">
        <v>10005866</v>
      </c>
      <c r="B1283">
        <v>26158160</v>
      </c>
      <c r="C1283">
        <v>7</v>
      </c>
      <c r="D1283" s="1" t="s">
        <v>919</v>
      </c>
      <c r="E1283">
        <v>9</v>
      </c>
    </row>
    <row r="1284" spans="1:5" x14ac:dyDescent="0.2">
      <c r="A1284">
        <v>10005866</v>
      </c>
      <c r="B1284">
        <v>26158160</v>
      </c>
      <c r="C1284">
        <v>4</v>
      </c>
      <c r="D1284" s="1" t="s">
        <v>767</v>
      </c>
      <c r="E1284">
        <v>9</v>
      </c>
    </row>
    <row r="1285" spans="1:5" x14ac:dyDescent="0.2">
      <c r="A1285">
        <v>10005866</v>
      </c>
      <c r="B1285">
        <v>26158160</v>
      </c>
      <c r="C1285">
        <v>1</v>
      </c>
      <c r="D1285" s="1" t="s">
        <v>920</v>
      </c>
      <c r="E1285">
        <v>9</v>
      </c>
    </row>
    <row r="1286" spans="1:5" x14ac:dyDescent="0.2">
      <c r="A1286">
        <v>10005866</v>
      </c>
      <c r="B1286">
        <v>26158160</v>
      </c>
      <c r="C1286">
        <v>5</v>
      </c>
      <c r="D1286" s="1" t="s">
        <v>308</v>
      </c>
      <c r="E1286">
        <v>9</v>
      </c>
    </row>
    <row r="1287" spans="1:5" x14ac:dyDescent="0.2">
      <c r="A1287">
        <v>10005866</v>
      </c>
      <c r="B1287">
        <v>26158160</v>
      </c>
      <c r="C1287">
        <v>3</v>
      </c>
      <c r="D1287" s="1" t="s">
        <v>462</v>
      </c>
      <c r="E1287">
        <v>9</v>
      </c>
    </row>
    <row r="1288" spans="1:5" x14ac:dyDescent="0.2">
      <c r="A1288">
        <v>10005866</v>
      </c>
      <c r="B1288">
        <v>26158160</v>
      </c>
      <c r="C1288">
        <v>2</v>
      </c>
      <c r="D1288" s="1" t="s">
        <v>921</v>
      </c>
      <c r="E1288">
        <v>9</v>
      </c>
    </row>
    <row r="1289" spans="1:5" x14ac:dyDescent="0.2">
      <c r="A1289">
        <v>10005866</v>
      </c>
      <c r="B1289">
        <v>26158160</v>
      </c>
      <c r="C1289">
        <v>6</v>
      </c>
      <c r="D1289" s="1" t="s">
        <v>455</v>
      </c>
      <c r="E1289">
        <v>9</v>
      </c>
    </row>
    <row r="1290" spans="1:5" x14ac:dyDescent="0.2">
      <c r="A1290">
        <v>10005866</v>
      </c>
      <c r="B1290">
        <v>20364112</v>
      </c>
      <c r="C1290">
        <v>5</v>
      </c>
      <c r="D1290" s="1" t="s">
        <v>626</v>
      </c>
      <c r="E1290">
        <v>10</v>
      </c>
    </row>
    <row r="1291" spans="1:5" x14ac:dyDescent="0.2">
      <c r="A1291">
        <v>10005866</v>
      </c>
      <c r="B1291">
        <v>20364112</v>
      </c>
      <c r="C1291">
        <v>16</v>
      </c>
      <c r="D1291" s="1" t="s">
        <v>922</v>
      </c>
      <c r="E1291">
        <v>10</v>
      </c>
    </row>
    <row r="1292" spans="1:5" x14ac:dyDescent="0.2">
      <c r="A1292">
        <v>10005866</v>
      </c>
      <c r="B1292">
        <v>20364112</v>
      </c>
      <c r="C1292">
        <v>22</v>
      </c>
      <c r="D1292" s="1" t="s">
        <v>733</v>
      </c>
      <c r="E1292">
        <v>10</v>
      </c>
    </row>
    <row r="1293" spans="1:5" x14ac:dyDescent="0.2">
      <c r="A1293">
        <v>10005866</v>
      </c>
      <c r="B1293">
        <v>20364112</v>
      </c>
      <c r="C1293">
        <v>4</v>
      </c>
      <c r="D1293" s="1" t="s">
        <v>923</v>
      </c>
      <c r="E1293">
        <v>10</v>
      </c>
    </row>
    <row r="1294" spans="1:5" x14ac:dyDescent="0.2">
      <c r="A1294">
        <v>10005866</v>
      </c>
      <c r="B1294">
        <v>20364112</v>
      </c>
      <c r="C1294">
        <v>21</v>
      </c>
      <c r="D1294" s="1" t="s">
        <v>563</v>
      </c>
      <c r="E1294">
        <v>10</v>
      </c>
    </row>
    <row r="1295" spans="1:5" x14ac:dyDescent="0.2">
      <c r="A1295">
        <v>10005866</v>
      </c>
      <c r="B1295">
        <v>20364112</v>
      </c>
      <c r="C1295">
        <v>23</v>
      </c>
      <c r="D1295" s="1" t="s">
        <v>332</v>
      </c>
      <c r="E1295">
        <v>10</v>
      </c>
    </row>
    <row r="1296" spans="1:5" x14ac:dyDescent="0.2">
      <c r="A1296">
        <v>10005866</v>
      </c>
      <c r="B1296">
        <v>20364112</v>
      </c>
      <c r="C1296">
        <v>7</v>
      </c>
      <c r="D1296" s="1" t="s">
        <v>334</v>
      </c>
      <c r="E1296">
        <v>10</v>
      </c>
    </row>
    <row r="1297" spans="1:5" x14ac:dyDescent="0.2">
      <c r="A1297">
        <v>10005866</v>
      </c>
      <c r="B1297">
        <v>20364112</v>
      </c>
      <c r="C1297">
        <v>19</v>
      </c>
      <c r="D1297" s="1" t="s">
        <v>889</v>
      </c>
      <c r="E1297">
        <v>10</v>
      </c>
    </row>
    <row r="1298" spans="1:5" x14ac:dyDescent="0.2">
      <c r="A1298">
        <v>10005866</v>
      </c>
      <c r="B1298">
        <v>20364112</v>
      </c>
      <c r="C1298">
        <v>27</v>
      </c>
      <c r="D1298" s="1" t="s">
        <v>924</v>
      </c>
      <c r="E1298">
        <v>10</v>
      </c>
    </row>
    <row r="1299" spans="1:5" x14ac:dyDescent="0.2">
      <c r="A1299">
        <v>10005866</v>
      </c>
      <c r="B1299">
        <v>20364112</v>
      </c>
      <c r="C1299">
        <v>18</v>
      </c>
      <c r="D1299" s="1" t="s">
        <v>925</v>
      </c>
      <c r="E1299">
        <v>10</v>
      </c>
    </row>
    <row r="1300" spans="1:5" x14ac:dyDescent="0.2">
      <c r="A1300">
        <v>10005866</v>
      </c>
      <c r="B1300">
        <v>20364112</v>
      </c>
      <c r="C1300">
        <v>20</v>
      </c>
      <c r="D1300" s="1" t="s">
        <v>926</v>
      </c>
      <c r="E1300">
        <v>10</v>
      </c>
    </row>
    <row r="1301" spans="1:5" x14ac:dyDescent="0.2">
      <c r="A1301">
        <v>10005866</v>
      </c>
      <c r="B1301">
        <v>20364112</v>
      </c>
      <c r="C1301">
        <v>2</v>
      </c>
      <c r="D1301" s="1" t="s">
        <v>615</v>
      </c>
      <c r="E1301">
        <v>10</v>
      </c>
    </row>
    <row r="1302" spans="1:5" x14ac:dyDescent="0.2">
      <c r="A1302">
        <v>10005866</v>
      </c>
      <c r="B1302">
        <v>20364112</v>
      </c>
      <c r="C1302">
        <v>6</v>
      </c>
      <c r="D1302" s="1" t="s">
        <v>927</v>
      </c>
      <c r="E1302">
        <v>10</v>
      </c>
    </row>
    <row r="1303" spans="1:5" x14ac:dyDescent="0.2">
      <c r="A1303">
        <v>10005866</v>
      </c>
      <c r="B1303">
        <v>20364112</v>
      </c>
      <c r="C1303">
        <v>9</v>
      </c>
      <c r="D1303" s="1" t="s">
        <v>325</v>
      </c>
      <c r="E1303">
        <v>10</v>
      </c>
    </row>
    <row r="1304" spans="1:5" x14ac:dyDescent="0.2">
      <c r="A1304">
        <v>10005866</v>
      </c>
      <c r="B1304">
        <v>20364112</v>
      </c>
      <c r="C1304">
        <v>13</v>
      </c>
      <c r="D1304" s="1" t="s">
        <v>928</v>
      </c>
      <c r="E1304">
        <v>10</v>
      </c>
    </row>
    <row r="1305" spans="1:5" x14ac:dyDescent="0.2">
      <c r="A1305">
        <v>10005866</v>
      </c>
      <c r="B1305">
        <v>20364112</v>
      </c>
      <c r="C1305">
        <v>3</v>
      </c>
      <c r="D1305" s="1" t="s">
        <v>929</v>
      </c>
      <c r="E1305">
        <v>10</v>
      </c>
    </row>
    <row r="1306" spans="1:5" x14ac:dyDescent="0.2">
      <c r="A1306">
        <v>10005866</v>
      </c>
      <c r="B1306">
        <v>20364112</v>
      </c>
      <c r="C1306">
        <v>14</v>
      </c>
      <c r="D1306" s="1" t="s">
        <v>912</v>
      </c>
      <c r="E1306">
        <v>10</v>
      </c>
    </row>
    <row r="1307" spans="1:5" x14ac:dyDescent="0.2">
      <c r="A1307">
        <v>10005866</v>
      </c>
      <c r="B1307">
        <v>20364112</v>
      </c>
      <c r="C1307">
        <v>1</v>
      </c>
      <c r="D1307" s="1" t="s">
        <v>930</v>
      </c>
      <c r="E1307">
        <v>10</v>
      </c>
    </row>
    <row r="1308" spans="1:5" x14ac:dyDescent="0.2">
      <c r="A1308">
        <v>10005866</v>
      </c>
      <c r="B1308">
        <v>20364112</v>
      </c>
      <c r="C1308">
        <v>24</v>
      </c>
      <c r="D1308" s="1" t="s">
        <v>613</v>
      </c>
      <c r="E1308">
        <v>10</v>
      </c>
    </row>
    <row r="1309" spans="1:5" x14ac:dyDescent="0.2">
      <c r="A1309">
        <v>10005866</v>
      </c>
      <c r="B1309">
        <v>20364112</v>
      </c>
      <c r="C1309">
        <v>28</v>
      </c>
      <c r="D1309" s="1" t="s">
        <v>914</v>
      </c>
      <c r="E1309">
        <v>10</v>
      </c>
    </row>
    <row r="1310" spans="1:5" x14ac:dyDescent="0.2">
      <c r="A1310">
        <v>10005866</v>
      </c>
      <c r="B1310">
        <v>20364112</v>
      </c>
      <c r="C1310">
        <v>11</v>
      </c>
      <c r="D1310" s="1" t="s">
        <v>324</v>
      </c>
      <c r="E1310">
        <v>10</v>
      </c>
    </row>
    <row r="1311" spans="1:5" x14ac:dyDescent="0.2">
      <c r="A1311">
        <v>10005866</v>
      </c>
      <c r="B1311">
        <v>20364112</v>
      </c>
      <c r="C1311">
        <v>12</v>
      </c>
      <c r="D1311" s="1" t="s">
        <v>931</v>
      </c>
      <c r="E1311">
        <v>10</v>
      </c>
    </row>
    <row r="1312" spans="1:5" x14ac:dyDescent="0.2">
      <c r="A1312">
        <v>10005866</v>
      </c>
      <c r="B1312">
        <v>20364112</v>
      </c>
      <c r="C1312">
        <v>8</v>
      </c>
      <c r="D1312" s="1" t="s">
        <v>932</v>
      </c>
      <c r="E1312">
        <v>10</v>
      </c>
    </row>
    <row r="1313" spans="1:5" x14ac:dyDescent="0.2">
      <c r="A1313">
        <v>10005866</v>
      </c>
      <c r="B1313">
        <v>20364112</v>
      </c>
      <c r="C1313">
        <v>10</v>
      </c>
      <c r="D1313" s="1" t="s">
        <v>933</v>
      </c>
      <c r="E1313">
        <v>10</v>
      </c>
    </row>
    <row r="1314" spans="1:5" x14ac:dyDescent="0.2">
      <c r="A1314">
        <v>10005866</v>
      </c>
      <c r="B1314">
        <v>20364112</v>
      </c>
      <c r="C1314">
        <v>26</v>
      </c>
      <c r="D1314" s="1" t="s">
        <v>934</v>
      </c>
      <c r="E1314">
        <v>10</v>
      </c>
    </row>
    <row r="1315" spans="1:5" x14ac:dyDescent="0.2">
      <c r="A1315">
        <v>10005866</v>
      </c>
      <c r="B1315">
        <v>20364112</v>
      </c>
      <c r="C1315">
        <v>25</v>
      </c>
      <c r="D1315" s="1" t="s">
        <v>594</v>
      </c>
      <c r="E1315">
        <v>10</v>
      </c>
    </row>
    <row r="1316" spans="1:5" x14ac:dyDescent="0.2">
      <c r="A1316">
        <v>10005866</v>
      </c>
      <c r="B1316">
        <v>20364112</v>
      </c>
      <c r="C1316">
        <v>15</v>
      </c>
      <c r="D1316" s="1" t="s">
        <v>935</v>
      </c>
      <c r="E1316">
        <v>10</v>
      </c>
    </row>
    <row r="1317" spans="1:5" x14ac:dyDescent="0.2">
      <c r="A1317">
        <v>10005866</v>
      </c>
      <c r="B1317">
        <v>20364112</v>
      </c>
      <c r="C1317">
        <v>17</v>
      </c>
      <c r="D1317" s="1" t="s">
        <v>936</v>
      </c>
      <c r="E1317">
        <v>10</v>
      </c>
    </row>
    <row r="1318" spans="1:5" x14ac:dyDescent="0.2">
      <c r="A1318">
        <v>10005866</v>
      </c>
      <c r="B1318">
        <v>21636229</v>
      </c>
      <c r="C1318">
        <v>6</v>
      </c>
      <c r="D1318" s="1" t="s">
        <v>937</v>
      </c>
      <c r="E1318">
        <v>10</v>
      </c>
    </row>
    <row r="1319" spans="1:5" x14ac:dyDescent="0.2">
      <c r="A1319">
        <v>10005866</v>
      </c>
      <c r="B1319">
        <v>21636229</v>
      </c>
      <c r="C1319">
        <v>5</v>
      </c>
      <c r="D1319" s="1" t="s">
        <v>912</v>
      </c>
      <c r="E1319">
        <v>10</v>
      </c>
    </row>
    <row r="1320" spans="1:5" x14ac:dyDescent="0.2">
      <c r="A1320">
        <v>10005866</v>
      </c>
      <c r="B1320">
        <v>21636229</v>
      </c>
      <c r="C1320">
        <v>1</v>
      </c>
      <c r="D1320" s="1" t="s">
        <v>922</v>
      </c>
      <c r="E1320">
        <v>10</v>
      </c>
    </row>
    <row r="1321" spans="1:5" x14ac:dyDescent="0.2">
      <c r="A1321">
        <v>10005866</v>
      </c>
      <c r="B1321">
        <v>21636229</v>
      </c>
      <c r="C1321">
        <v>3</v>
      </c>
      <c r="D1321" s="1" t="s">
        <v>626</v>
      </c>
      <c r="E1321">
        <v>10</v>
      </c>
    </row>
    <row r="1322" spans="1:5" x14ac:dyDescent="0.2">
      <c r="A1322">
        <v>10005866</v>
      </c>
      <c r="B1322">
        <v>21636229</v>
      </c>
      <c r="C1322">
        <v>2</v>
      </c>
      <c r="D1322" s="1" t="s">
        <v>615</v>
      </c>
      <c r="E1322">
        <v>10</v>
      </c>
    </row>
    <row r="1323" spans="1:5" x14ac:dyDescent="0.2">
      <c r="A1323">
        <v>10005866</v>
      </c>
      <c r="B1323">
        <v>21636229</v>
      </c>
      <c r="C1323">
        <v>4</v>
      </c>
      <c r="D1323" s="1" t="s">
        <v>914</v>
      </c>
      <c r="E1323">
        <v>10</v>
      </c>
    </row>
    <row r="1324" spans="1:5" x14ac:dyDescent="0.2">
      <c r="A1324">
        <v>10005866</v>
      </c>
      <c r="B1324">
        <v>21636229</v>
      </c>
      <c r="C1324">
        <v>7</v>
      </c>
      <c r="D1324" s="1" t="s">
        <v>938</v>
      </c>
      <c r="E1324">
        <v>10</v>
      </c>
    </row>
    <row r="1325" spans="1:5" x14ac:dyDescent="0.2">
      <c r="A1325">
        <v>10005866</v>
      </c>
      <c r="B1325">
        <v>26134779</v>
      </c>
      <c r="C1325">
        <v>5</v>
      </c>
      <c r="D1325" s="1" t="s">
        <v>574</v>
      </c>
      <c r="E1325">
        <v>10</v>
      </c>
    </row>
    <row r="1326" spans="1:5" x14ac:dyDescent="0.2">
      <c r="A1326">
        <v>10005866</v>
      </c>
      <c r="B1326">
        <v>26134779</v>
      </c>
      <c r="C1326">
        <v>2</v>
      </c>
      <c r="D1326" s="1" t="s">
        <v>626</v>
      </c>
      <c r="E1326">
        <v>10</v>
      </c>
    </row>
    <row r="1327" spans="1:5" x14ac:dyDescent="0.2">
      <c r="A1327">
        <v>10005866</v>
      </c>
      <c r="B1327">
        <v>26134779</v>
      </c>
      <c r="C1327">
        <v>6</v>
      </c>
      <c r="D1327" s="1" t="s">
        <v>939</v>
      </c>
      <c r="E1327">
        <v>10</v>
      </c>
    </row>
    <row r="1328" spans="1:5" x14ac:dyDescent="0.2">
      <c r="A1328">
        <v>10005866</v>
      </c>
      <c r="B1328">
        <v>26134779</v>
      </c>
      <c r="C1328">
        <v>1</v>
      </c>
      <c r="D1328" s="1" t="s">
        <v>940</v>
      </c>
      <c r="E1328">
        <v>10</v>
      </c>
    </row>
    <row r="1329" spans="1:5" x14ac:dyDescent="0.2">
      <c r="A1329">
        <v>10005866</v>
      </c>
      <c r="B1329">
        <v>26134779</v>
      </c>
      <c r="C1329">
        <v>3</v>
      </c>
      <c r="D1329" s="1" t="s">
        <v>926</v>
      </c>
      <c r="E1329">
        <v>10</v>
      </c>
    </row>
    <row r="1330" spans="1:5" x14ac:dyDescent="0.2">
      <c r="A1330">
        <v>10005866</v>
      </c>
      <c r="B1330">
        <v>26134779</v>
      </c>
      <c r="C1330">
        <v>4</v>
      </c>
      <c r="D1330" s="1" t="s">
        <v>912</v>
      </c>
      <c r="E1330">
        <v>10</v>
      </c>
    </row>
    <row r="1331" spans="1:5" x14ac:dyDescent="0.2">
      <c r="A1331">
        <v>10005866</v>
      </c>
      <c r="B1331">
        <v>23514107</v>
      </c>
      <c r="C1331">
        <v>4</v>
      </c>
      <c r="D1331" s="1" t="s">
        <v>626</v>
      </c>
      <c r="E1331">
        <v>10</v>
      </c>
    </row>
    <row r="1332" spans="1:5" x14ac:dyDescent="0.2">
      <c r="A1332">
        <v>10005866</v>
      </c>
      <c r="B1332">
        <v>23514107</v>
      </c>
      <c r="C1332">
        <v>8</v>
      </c>
      <c r="D1332" s="1" t="s">
        <v>917</v>
      </c>
      <c r="E1332">
        <v>10</v>
      </c>
    </row>
    <row r="1333" spans="1:5" x14ac:dyDescent="0.2">
      <c r="A1333">
        <v>10005866</v>
      </c>
      <c r="B1333">
        <v>23514107</v>
      </c>
      <c r="C1333">
        <v>5</v>
      </c>
      <c r="D1333" s="1" t="s">
        <v>574</v>
      </c>
      <c r="E1333">
        <v>10</v>
      </c>
    </row>
    <row r="1334" spans="1:5" x14ac:dyDescent="0.2">
      <c r="A1334">
        <v>10005866</v>
      </c>
      <c r="B1334">
        <v>23514107</v>
      </c>
      <c r="C1334">
        <v>1</v>
      </c>
      <c r="D1334" s="1" t="s">
        <v>906</v>
      </c>
      <c r="E1334">
        <v>10</v>
      </c>
    </row>
    <row r="1335" spans="1:5" x14ac:dyDescent="0.2">
      <c r="A1335">
        <v>10005866</v>
      </c>
      <c r="B1335">
        <v>23514107</v>
      </c>
      <c r="C1335">
        <v>3</v>
      </c>
      <c r="D1335" s="1" t="s">
        <v>926</v>
      </c>
      <c r="E1335">
        <v>10</v>
      </c>
    </row>
    <row r="1336" spans="1:5" x14ac:dyDescent="0.2">
      <c r="A1336">
        <v>10005866</v>
      </c>
      <c r="B1336">
        <v>23514107</v>
      </c>
      <c r="C1336">
        <v>9</v>
      </c>
      <c r="D1336" s="1" t="s">
        <v>615</v>
      </c>
      <c r="E1336">
        <v>10</v>
      </c>
    </row>
    <row r="1337" spans="1:5" x14ac:dyDescent="0.2">
      <c r="A1337">
        <v>10005866</v>
      </c>
      <c r="B1337">
        <v>23514107</v>
      </c>
      <c r="C1337">
        <v>7</v>
      </c>
      <c r="D1337" s="1" t="s">
        <v>941</v>
      </c>
      <c r="E1337">
        <v>10</v>
      </c>
    </row>
    <row r="1338" spans="1:5" x14ac:dyDescent="0.2">
      <c r="A1338">
        <v>10005866</v>
      </c>
      <c r="B1338">
        <v>23514107</v>
      </c>
      <c r="C1338">
        <v>6</v>
      </c>
      <c r="D1338" s="1" t="s">
        <v>913</v>
      </c>
      <c r="E1338">
        <v>10</v>
      </c>
    </row>
    <row r="1339" spans="1:5" x14ac:dyDescent="0.2">
      <c r="A1339">
        <v>10005866</v>
      </c>
      <c r="B1339">
        <v>23514107</v>
      </c>
      <c r="C1339">
        <v>2</v>
      </c>
      <c r="D1339" s="1" t="s">
        <v>912</v>
      </c>
      <c r="E1339">
        <v>10</v>
      </c>
    </row>
    <row r="1340" spans="1:5" x14ac:dyDescent="0.2">
      <c r="A1340">
        <v>10021487</v>
      </c>
      <c r="B1340">
        <v>27112038</v>
      </c>
      <c r="C1340">
        <v>4</v>
      </c>
      <c r="D1340" s="1" t="s">
        <v>942</v>
      </c>
      <c r="E1340">
        <v>9</v>
      </c>
    </row>
    <row r="1341" spans="1:5" x14ac:dyDescent="0.2">
      <c r="A1341">
        <v>10021487</v>
      </c>
      <c r="B1341">
        <v>27112038</v>
      </c>
      <c r="C1341">
        <v>1</v>
      </c>
      <c r="D1341" s="1" t="s">
        <v>283</v>
      </c>
      <c r="E1341">
        <v>9</v>
      </c>
    </row>
    <row r="1342" spans="1:5" x14ac:dyDescent="0.2">
      <c r="A1342">
        <v>10021487</v>
      </c>
      <c r="B1342">
        <v>27112038</v>
      </c>
      <c r="C1342">
        <v>3</v>
      </c>
      <c r="D1342" s="1" t="s">
        <v>514</v>
      </c>
      <c r="E1342">
        <v>9</v>
      </c>
    </row>
    <row r="1343" spans="1:5" x14ac:dyDescent="0.2">
      <c r="A1343">
        <v>10021487</v>
      </c>
      <c r="B1343">
        <v>27112038</v>
      </c>
      <c r="C1343">
        <v>2</v>
      </c>
      <c r="D1343" s="1" t="s">
        <v>691</v>
      </c>
      <c r="E1343">
        <v>9</v>
      </c>
    </row>
    <row r="1344" spans="1:5" x14ac:dyDescent="0.2">
      <c r="A1344">
        <v>10021487</v>
      </c>
      <c r="B1344">
        <v>27112038</v>
      </c>
      <c r="C1344">
        <v>5</v>
      </c>
      <c r="D1344" s="1" t="s">
        <v>943</v>
      </c>
      <c r="E1344">
        <v>9</v>
      </c>
    </row>
    <row r="1345" spans="1:5" x14ac:dyDescent="0.2">
      <c r="A1345">
        <v>10021487</v>
      </c>
      <c r="B1345">
        <v>27112038</v>
      </c>
      <c r="C1345">
        <v>7</v>
      </c>
      <c r="D1345" s="1" t="s">
        <v>281</v>
      </c>
      <c r="E1345">
        <v>9</v>
      </c>
    </row>
    <row r="1346" spans="1:5" x14ac:dyDescent="0.2">
      <c r="A1346">
        <v>10021487</v>
      </c>
      <c r="B1346">
        <v>27112038</v>
      </c>
      <c r="C1346">
        <v>6</v>
      </c>
      <c r="D1346" s="1" t="s">
        <v>944</v>
      </c>
      <c r="E1346">
        <v>9</v>
      </c>
    </row>
    <row r="1347" spans="1:5" x14ac:dyDescent="0.2">
      <c r="A1347">
        <v>10021487</v>
      </c>
      <c r="B1347">
        <v>20429160</v>
      </c>
      <c r="C1347">
        <v>2</v>
      </c>
      <c r="D1347" s="1" t="s">
        <v>637</v>
      </c>
      <c r="E1347">
        <v>9</v>
      </c>
    </row>
    <row r="1348" spans="1:5" x14ac:dyDescent="0.2">
      <c r="A1348">
        <v>10021487</v>
      </c>
      <c r="B1348">
        <v>20429160</v>
      </c>
      <c r="C1348">
        <v>3</v>
      </c>
      <c r="D1348" s="1" t="s">
        <v>267</v>
      </c>
      <c r="E1348">
        <v>9</v>
      </c>
    </row>
    <row r="1349" spans="1:5" x14ac:dyDescent="0.2">
      <c r="A1349">
        <v>10021487</v>
      </c>
      <c r="B1349">
        <v>20429160</v>
      </c>
      <c r="C1349">
        <v>5</v>
      </c>
      <c r="D1349" s="1" t="s">
        <v>945</v>
      </c>
      <c r="E1349">
        <v>9</v>
      </c>
    </row>
    <row r="1350" spans="1:5" x14ac:dyDescent="0.2">
      <c r="A1350">
        <v>10021487</v>
      </c>
      <c r="B1350">
        <v>20429160</v>
      </c>
      <c r="C1350">
        <v>6</v>
      </c>
      <c r="D1350" s="1" t="s">
        <v>946</v>
      </c>
      <c r="E1350">
        <v>9</v>
      </c>
    </row>
    <row r="1351" spans="1:5" x14ac:dyDescent="0.2">
      <c r="A1351">
        <v>10021487</v>
      </c>
      <c r="B1351">
        <v>20429160</v>
      </c>
      <c r="C1351">
        <v>1</v>
      </c>
      <c r="D1351" s="1" t="s">
        <v>947</v>
      </c>
      <c r="E1351">
        <v>9</v>
      </c>
    </row>
    <row r="1352" spans="1:5" x14ac:dyDescent="0.2">
      <c r="A1352">
        <v>10021487</v>
      </c>
      <c r="B1352">
        <v>20429160</v>
      </c>
      <c r="C1352">
        <v>4</v>
      </c>
      <c r="D1352" s="1" t="s">
        <v>948</v>
      </c>
      <c r="E1352">
        <v>9</v>
      </c>
    </row>
    <row r="1353" spans="1:5" x14ac:dyDescent="0.2">
      <c r="A1353">
        <v>10021487</v>
      </c>
      <c r="B1353">
        <v>20429160</v>
      </c>
      <c r="C1353">
        <v>7</v>
      </c>
      <c r="D1353" s="1" t="s">
        <v>949</v>
      </c>
      <c r="E1353">
        <v>9</v>
      </c>
    </row>
    <row r="1354" spans="1:5" x14ac:dyDescent="0.2">
      <c r="A1354">
        <v>10021487</v>
      </c>
      <c r="B1354">
        <v>21928381</v>
      </c>
      <c r="C1354">
        <v>4</v>
      </c>
      <c r="D1354" s="1" t="s">
        <v>686</v>
      </c>
      <c r="E1354">
        <v>9</v>
      </c>
    </row>
    <row r="1355" spans="1:5" x14ac:dyDescent="0.2">
      <c r="A1355">
        <v>10021487</v>
      </c>
      <c r="B1355">
        <v>21928381</v>
      </c>
      <c r="C1355">
        <v>11</v>
      </c>
      <c r="D1355" s="1" t="s">
        <v>950</v>
      </c>
      <c r="E1355">
        <v>9</v>
      </c>
    </row>
    <row r="1356" spans="1:5" x14ac:dyDescent="0.2">
      <c r="A1356">
        <v>10021487</v>
      </c>
      <c r="B1356">
        <v>21928381</v>
      </c>
      <c r="C1356">
        <v>10</v>
      </c>
      <c r="D1356" s="1" t="s">
        <v>302</v>
      </c>
      <c r="E1356">
        <v>9</v>
      </c>
    </row>
    <row r="1357" spans="1:5" x14ac:dyDescent="0.2">
      <c r="A1357">
        <v>10021487</v>
      </c>
      <c r="B1357">
        <v>21928381</v>
      </c>
      <c r="C1357">
        <v>6</v>
      </c>
      <c r="D1357" s="1" t="s">
        <v>694</v>
      </c>
      <c r="E1357">
        <v>9</v>
      </c>
    </row>
    <row r="1358" spans="1:5" x14ac:dyDescent="0.2">
      <c r="A1358">
        <v>10021487</v>
      </c>
      <c r="B1358">
        <v>21928381</v>
      </c>
      <c r="C1358">
        <v>5</v>
      </c>
      <c r="D1358" s="1" t="s">
        <v>281</v>
      </c>
      <c r="E1358">
        <v>9</v>
      </c>
    </row>
    <row r="1359" spans="1:5" x14ac:dyDescent="0.2">
      <c r="A1359">
        <v>10021487</v>
      </c>
      <c r="B1359">
        <v>21928381</v>
      </c>
      <c r="C1359">
        <v>3</v>
      </c>
      <c r="D1359" s="1" t="s">
        <v>288</v>
      </c>
      <c r="E1359">
        <v>9</v>
      </c>
    </row>
    <row r="1360" spans="1:5" x14ac:dyDescent="0.2">
      <c r="A1360">
        <v>10021487</v>
      </c>
      <c r="B1360">
        <v>21928381</v>
      </c>
      <c r="C1360">
        <v>1</v>
      </c>
      <c r="D1360" s="1" t="s">
        <v>283</v>
      </c>
      <c r="E1360">
        <v>9</v>
      </c>
    </row>
    <row r="1361" spans="1:5" x14ac:dyDescent="0.2">
      <c r="A1361">
        <v>10021487</v>
      </c>
      <c r="B1361">
        <v>21928381</v>
      </c>
      <c r="C1361">
        <v>7</v>
      </c>
      <c r="D1361" s="1" t="s">
        <v>943</v>
      </c>
      <c r="E1361">
        <v>9</v>
      </c>
    </row>
    <row r="1362" spans="1:5" x14ac:dyDescent="0.2">
      <c r="A1362">
        <v>10021487</v>
      </c>
      <c r="B1362">
        <v>21928381</v>
      </c>
      <c r="C1362">
        <v>8</v>
      </c>
      <c r="D1362" s="1" t="s">
        <v>944</v>
      </c>
      <c r="E1362">
        <v>9</v>
      </c>
    </row>
    <row r="1363" spans="1:5" x14ac:dyDescent="0.2">
      <c r="A1363">
        <v>10021487</v>
      </c>
      <c r="B1363">
        <v>21928381</v>
      </c>
      <c r="C1363">
        <v>2</v>
      </c>
      <c r="D1363" s="1" t="s">
        <v>691</v>
      </c>
      <c r="E1363">
        <v>9</v>
      </c>
    </row>
    <row r="1364" spans="1:5" x14ac:dyDescent="0.2">
      <c r="A1364">
        <v>10021487</v>
      </c>
      <c r="B1364">
        <v>21928381</v>
      </c>
      <c r="C1364">
        <v>9</v>
      </c>
      <c r="D1364" s="1" t="s">
        <v>942</v>
      </c>
      <c r="E1364">
        <v>9</v>
      </c>
    </row>
    <row r="1365" spans="1:5" x14ac:dyDescent="0.2">
      <c r="A1365">
        <v>10021487</v>
      </c>
      <c r="B1365">
        <v>26321862</v>
      </c>
      <c r="C1365">
        <v>2</v>
      </c>
      <c r="D1365" s="1" t="s">
        <v>302</v>
      </c>
      <c r="E1365">
        <v>9</v>
      </c>
    </row>
    <row r="1366" spans="1:5" x14ac:dyDescent="0.2">
      <c r="A1366">
        <v>10021487</v>
      </c>
      <c r="B1366">
        <v>26321862</v>
      </c>
      <c r="C1366">
        <v>1</v>
      </c>
      <c r="D1366" s="1" t="s">
        <v>947</v>
      </c>
      <c r="E1366">
        <v>9</v>
      </c>
    </row>
    <row r="1367" spans="1:5" x14ac:dyDescent="0.2">
      <c r="A1367">
        <v>10021487</v>
      </c>
      <c r="B1367">
        <v>28998349</v>
      </c>
      <c r="C1367">
        <v>27</v>
      </c>
      <c r="D1367" s="1" t="s">
        <v>951</v>
      </c>
      <c r="E1367">
        <v>9</v>
      </c>
    </row>
    <row r="1368" spans="1:5" x14ac:dyDescent="0.2">
      <c r="A1368">
        <v>10021487</v>
      </c>
      <c r="B1368">
        <v>28998349</v>
      </c>
      <c r="C1368">
        <v>31</v>
      </c>
      <c r="D1368" s="1" t="s">
        <v>952</v>
      </c>
      <c r="E1368">
        <v>9</v>
      </c>
    </row>
    <row r="1369" spans="1:5" x14ac:dyDescent="0.2">
      <c r="A1369">
        <v>10021487</v>
      </c>
      <c r="B1369">
        <v>28998349</v>
      </c>
      <c r="C1369">
        <v>10</v>
      </c>
      <c r="D1369" s="1" t="s">
        <v>586</v>
      </c>
      <c r="E1369">
        <v>9</v>
      </c>
    </row>
    <row r="1370" spans="1:5" x14ac:dyDescent="0.2">
      <c r="A1370">
        <v>10021487</v>
      </c>
      <c r="B1370">
        <v>28998349</v>
      </c>
      <c r="C1370">
        <v>18</v>
      </c>
      <c r="D1370" s="1" t="s">
        <v>702</v>
      </c>
      <c r="E1370">
        <v>9</v>
      </c>
    </row>
    <row r="1371" spans="1:5" x14ac:dyDescent="0.2">
      <c r="A1371">
        <v>10021487</v>
      </c>
      <c r="B1371">
        <v>28998349</v>
      </c>
      <c r="C1371">
        <v>32</v>
      </c>
      <c r="D1371" s="1" t="s">
        <v>771</v>
      </c>
      <c r="E1371">
        <v>9</v>
      </c>
    </row>
    <row r="1372" spans="1:5" x14ac:dyDescent="0.2">
      <c r="A1372">
        <v>10021487</v>
      </c>
      <c r="B1372">
        <v>28998349</v>
      </c>
      <c r="C1372">
        <v>35</v>
      </c>
      <c r="D1372" s="1" t="s">
        <v>953</v>
      </c>
      <c r="E1372">
        <v>9</v>
      </c>
    </row>
    <row r="1373" spans="1:5" x14ac:dyDescent="0.2">
      <c r="A1373">
        <v>10021487</v>
      </c>
      <c r="B1373">
        <v>28998349</v>
      </c>
      <c r="C1373">
        <v>17</v>
      </c>
      <c r="D1373" s="1" t="s">
        <v>954</v>
      </c>
      <c r="E1373">
        <v>9</v>
      </c>
    </row>
    <row r="1374" spans="1:5" x14ac:dyDescent="0.2">
      <c r="A1374">
        <v>10021487</v>
      </c>
      <c r="B1374">
        <v>28998349</v>
      </c>
      <c r="C1374">
        <v>22</v>
      </c>
      <c r="D1374" s="1" t="s">
        <v>955</v>
      </c>
      <c r="E1374">
        <v>9</v>
      </c>
    </row>
    <row r="1375" spans="1:5" x14ac:dyDescent="0.2">
      <c r="A1375">
        <v>10021487</v>
      </c>
      <c r="B1375">
        <v>28998349</v>
      </c>
      <c r="C1375">
        <v>3</v>
      </c>
      <c r="D1375" s="1" t="s">
        <v>956</v>
      </c>
      <c r="E1375">
        <v>9</v>
      </c>
    </row>
    <row r="1376" spans="1:5" x14ac:dyDescent="0.2">
      <c r="A1376">
        <v>10021487</v>
      </c>
      <c r="B1376">
        <v>28998349</v>
      </c>
      <c r="C1376">
        <v>24</v>
      </c>
      <c r="D1376" s="1" t="s">
        <v>957</v>
      </c>
      <c r="E1376">
        <v>9</v>
      </c>
    </row>
    <row r="1377" spans="1:5" x14ac:dyDescent="0.2">
      <c r="A1377">
        <v>10021487</v>
      </c>
      <c r="B1377">
        <v>28998349</v>
      </c>
      <c r="C1377">
        <v>14</v>
      </c>
      <c r="D1377" s="1" t="s">
        <v>958</v>
      </c>
      <c r="E1377">
        <v>9</v>
      </c>
    </row>
    <row r="1378" spans="1:5" x14ac:dyDescent="0.2">
      <c r="A1378">
        <v>10021487</v>
      </c>
      <c r="B1378">
        <v>28998349</v>
      </c>
      <c r="C1378">
        <v>33</v>
      </c>
      <c r="D1378" s="1" t="s">
        <v>366</v>
      </c>
      <c r="E1378">
        <v>9</v>
      </c>
    </row>
    <row r="1379" spans="1:5" x14ac:dyDescent="0.2">
      <c r="A1379">
        <v>10021487</v>
      </c>
      <c r="B1379">
        <v>28998349</v>
      </c>
      <c r="C1379">
        <v>4</v>
      </c>
      <c r="D1379" s="1" t="s">
        <v>637</v>
      </c>
      <c r="E1379">
        <v>9</v>
      </c>
    </row>
    <row r="1380" spans="1:5" x14ac:dyDescent="0.2">
      <c r="A1380">
        <v>10021487</v>
      </c>
      <c r="B1380">
        <v>28998349</v>
      </c>
      <c r="C1380">
        <v>13</v>
      </c>
      <c r="D1380" s="1" t="s">
        <v>959</v>
      </c>
      <c r="E1380">
        <v>9</v>
      </c>
    </row>
    <row r="1381" spans="1:5" x14ac:dyDescent="0.2">
      <c r="A1381">
        <v>10021487</v>
      </c>
      <c r="B1381">
        <v>28998349</v>
      </c>
      <c r="C1381">
        <v>12</v>
      </c>
      <c r="D1381" s="1" t="s">
        <v>299</v>
      </c>
      <c r="E1381">
        <v>9</v>
      </c>
    </row>
    <row r="1382" spans="1:5" x14ac:dyDescent="0.2">
      <c r="A1382">
        <v>10021487</v>
      </c>
      <c r="B1382">
        <v>28998349</v>
      </c>
      <c r="C1382">
        <v>11</v>
      </c>
      <c r="D1382" s="1" t="s">
        <v>960</v>
      </c>
      <c r="E1382">
        <v>9</v>
      </c>
    </row>
    <row r="1383" spans="1:5" x14ac:dyDescent="0.2">
      <c r="A1383">
        <v>10021487</v>
      </c>
      <c r="B1383">
        <v>28998349</v>
      </c>
      <c r="C1383">
        <v>8</v>
      </c>
      <c r="D1383" s="1" t="s">
        <v>454</v>
      </c>
      <c r="E1383">
        <v>9</v>
      </c>
    </row>
    <row r="1384" spans="1:5" x14ac:dyDescent="0.2">
      <c r="A1384">
        <v>10021487</v>
      </c>
      <c r="B1384">
        <v>28998349</v>
      </c>
      <c r="C1384">
        <v>19</v>
      </c>
      <c r="D1384" s="1" t="s">
        <v>961</v>
      </c>
      <c r="E1384">
        <v>9</v>
      </c>
    </row>
    <row r="1385" spans="1:5" x14ac:dyDescent="0.2">
      <c r="A1385">
        <v>10021487</v>
      </c>
      <c r="B1385">
        <v>28998349</v>
      </c>
      <c r="C1385">
        <v>28</v>
      </c>
      <c r="D1385" s="1" t="s">
        <v>668</v>
      </c>
      <c r="E1385">
        <v>9</v>
      </c>
    </row>
    <row r="1386" spans="1:5" x14ac:dyDescent="0.2">
      <c r="A1386">
        <v>10021487</v>
      </c>
      <c r="B1386">
        <v>28998349</v>
      </c>
      <c r="C1386">
        <v>34</v>
      </c>
      <c r="D1386" s="1" t="s">
        <v>294</v>
      </c>
      <c r="E1386">
        <v>9</v>
      </c>
    </row>
    <row r="1387" spans="1:5" x14ac:dyDescent="0.2">
      <c r="A1387">
        <v>10021487</v>
      </c>
      <c r="B1387">
        <v>28998349</v>
      </c>
      <c r="C1387">
        <v>16</v>
      </c>
      <c r="D1387" s="1" t="s">
        <v>595</v>
      </c>
      <c r="E1387">
        <v>9</v>
      </c>
    </row>
    <row r="1388" spans="1:5" x14ac:dyDescent="0.2">
      <c r="A1388">
        <v>10021487</v>
      </c>
      <c r="B1388">
        <v>28998349</v>
      </c>
      <c r="C1388">
        <v>5</v>
      </c>
      <c r="D1388" s="1" t="s">
        <v>705</v>
      </c>
      <c r="E1388">
        <v>9</v>
      </c>
    </row>
    <row r="1389" spans="1:5" x14ac:dyDescent="0.2">
      <c r="A1389">
        <v>10021487</v>
      </c>
      <c r="B1389">
        <v>28998349</v>
      </c>
      <c r="C1389">
        <v>25</v>
      </c>
      <c r="D1389" s="1" t="s">
        <v>962</v>
      </c>
      <c r="E1389">
        <v>9</v>
      </c>
    </row>
    <row r="1390" spans="1:5" x14ac:dyDescent="0.2">
      <c r="A1390">
        <v>10021487</v>
      </c>
      <c r="B1390">
        <v>28998349</v>
      </c>
      <c r="C1390">
        <v>21</v>
      </c>
      <c r="D1390" s="1" t="s">
        <v>963</v>
      </c>
      <c r="E1390">
        <v>9</v>
      </c>
    </row>
    <row r="1391" spans="1:5" x14ac:dyDescent="0.2">
      <c r="A1391">
        <v>10021487</v>
      </c>
      <c r="B1391">
        <v>28998349</v>
      </c>
      <c r="C1391">
        <v>20</v>
      </c>
      <c r="D1391" s="1" t="s">
        <v>964</v>
      </c>
      <c r="E1391">
        <v>9</v>
      </c>
    </row>
    <row r="1392" spans="1:5" x14ac:dyDescent="0.2">
      <c r="A1392">
        <v>10021487</v>
      </c>
      <c r="B1392">
        <v>28998349</v>
      </c>
      <c r="C1392">
        <v>30</v>
      </c>
      <c r="D1392" s="1" t="s">
        <v>965</v>
      </c>
      <c r="E1392">
        <v>9</v>
      </c>
    </row>
    <row r="1393" spans="1:5" x14ac:dyDescent="0.2">
      <c r="A1393">
        <v>10021487</v>
      </c>
      <c r="B1393">
        <v>28998349</v>
      </c>
      <c r="C1393">
        <v>15</v>
      </c>
      <c r="D1393" s="1" t="s">
        <v>410</v>
      </c>
      <c r="E1393">
        <v>9</v>
      </c>
    </row>
    <row r="1394" spans="1:5" x14ac:dyDescent="0.2">
      <c r="A1394">
        <v>10021487</v>
      </c>
      <c r="B1394">
        <v>28998349</v>
      </c>
      <c r="C1394">
        <v>29</v>
      </c>
      <c r="D1394" s="1" t="s">
        <v>966</v>
      </c>
      <c r="E1394">
        <v>9</v>
      </c>
    </row>
    <row r="1395" spans="1:5" x14ac:dyDescent="0.2">
      <c r="A1395">
        <v>10021487</v>
      </c>
      <c r="B1395">
        <v>28998349</v>
      </c>
      <c r="C1395">
        <v>6</v>
      </c>
      <c r="D1395" s="1" t="s">
        <v>967</v>
      </c>
      <c r="E1395">
        <v>9</v>
      </c>
    </row>
    <row r="1396" spans="1:5" x14ac:dyDescent="0.2">
      <c r="A1396">
        <v>10021487</v>
      </c>
      <c r="B1396">
        <v>28998349</v>
      </c>
      <c r="C1396">
        <v>23</v>
      </c>
      <c r="D1396" s="1" t="s">
        <v>968</v>
      </c>
      <c r="E1396">
        <v>9</v>
      </c>
    </row>
    <row r="1397" spans="1:5" x14ac:dyDescent="0.2">
      <c r="A1397">
        <v>10021487</v>
      </c>
      <c r="B1397">
        <v>28998349</v>
      </c>
      <c r="C1397">
        <v>9</v>
      </c>
      <c r="D1397" s="1" t="s">
        <v>969</v>
      </c>
      <c r="E1397">
        <v>9</v>
      </c>
    </row>
    <row r="1398" spans="1:5" x14ac:dyDescent="0.2">
      <c r="A1398">
        <v>10021487</v>
      </c>
      <c r="B1398">
        <v>28998349</v>
      </c>
      <c r="C1398">
        <v>26</v>
      </c>
      <c r="D1398" s="1" t="s">
        <v>970</v>
      </c>
      <c r="E1398">
        <v>9</v>
      </c>
    </row>
    <row r="1399" spans="1:5" x14ac:dyDescent="0.2">
      <c r="A1399">
        <v>10021487</v>
      </c>
      <c r="B1399">
        <v>28998349</v>
      </c>
      <c r="C1399">
        <v>1</v>
      </c>
      <c r="D1399" s="1" t="s">
        <v>971</v>
      </c>
      <c r="E1399">
        <v>9</v>
      </c>
    </row>
    <row r="1400" spans="1:5" x14ac:dyDescent="0.2">
      <c r="A1400">
        <v>10021487</v>
      </c>
      <c r="B1400">
        <v>28998349</v>
      </c>
      <c r="C1400">
        <v>2</v>
      </c>
      <c r="D1400" s="1" t="s">
        <v>972</v>
      </c>
      <c r="E1400">
        <v>9</v>
      </c>
    </row>
    <row r="1401" spans="1:5" x14ac:dyDescent="0.2">
      <c r="A1401">
        <v>10021487</v>
      </c>
      <c r="B1401">
        <v>28998349</v>
      </c>
      <c r="C1401">
        <v>7</v>
      </c>
      <c r="D1401" s="1" t="s">
        <v>973</v>
      </c>
      <c r="E1401">
        <v>9</v>
      </c>
    </row>
    <row r="1402" spans="1:5" x14ac:dyDescent="0.2">
      <c r="A1402">
        <v>10021487</v>
      </c>
      <c r="B1402">
        <v>27660781</v>
      </c>
      <c r="C1402">
        <v>4</v>
      </c>
      <c r="D1402" s="1" t="s">
        <v>691</v>
      </c>
      <c r="E1402">
        <v>9</v>
      </c>
    </row>
    <row r="1403" spans="1:5" x14ac:dyDescent="0.2">
      <c r="A1403">
        <v>10021487</v>
      </c>
      <c r="B1403">
        <v>27660781</v>
      </c>
      <c r="C1403">
        <v>7</v>
      </c>
      <c r="D1403" s="1" t="s">
        <v>852</v>
      </c>
      <c r="E1403">
        <v>9</v>
      </c>
    </row>
    <row r="1404" spans="1:5" x14ac:dyDescent="0.2">
      <c r="A1404">
        <v>10021487</v>
      </c>
      <c r="B1404">
        <v>27660781</v>
      </c>
      <c r="C1404">
        <v>1</v>
      </c>
      <c r="D1404" s="1" t="s">
        <v>947</v>
      </c>
      <c r="E1404">
        <v>9</v>
      </c>
    </row>
    <row r="1405" spans="1:5" x14ac:dyDescent="0.2">
      <c r="A1405">
        <v>10021487</v>
      </c>
      <c r="B1405">
        <v>27660781</v>
      </c>
      <c r="C1405">
        <v>2</v>
      </c>
      <c r="D1405" s="1" t="s">
        <v>974</v>
      </c>
      <c r="E1405">
        <v>9</v>
      </c>
    </row>
    <row r="1406" spans="1:5" x14ac:dyDescent="0.2">
      <c r="A1406">
        <v>10021487</v>
      </c>
      <c r="B1406">
        <v>27660781</v>
      </c>
      <c r="C1406">
        <v>5</v>
      </c>
      <c r="D1406" s="1" t="s">
        <v>401</v>
      </c>
      <c r="E1406">
        <v>9</v>
      </c>
    </row>
    <row r="1407" spans="1:5" x14ac:dyDescent="0.2">
      <c r="A1407">
        <v>10021487</v>
      </c>
      <c r="B1407">
        <v>27660781</v>
      </c>
      <c r="C1407">
        <v>8</v>
      </c>
      <c r="D1407" s="1" t="s">
        <v>975</v>
      </c>
      <c r="E1407">
        <v>9</v>
      </c>
    </row>
    <row r="1408" spans="1:5" x14ac:dyDescent="0.2">
      <c r="A1408">
        <v>10021487</v>
      </c>
      <c r="B1408">
        <v>27660781</v>
      </c>
      <c r="C1408">
        <v>3</v>
      </c>
      <c r="D1408" s="1" t="s">
        <v>976</v>
      </c>
      <c r="E1408">
        <v>9</v>
      </c>
    </row>
    <row r="1409" spans="1:5" x14ac:dyDescent="0.2">
      <c r="A1409">
        <v>10021487</v>
      </c>
      <c r="B1409">
        <v>27660781</v>
      </c>
      <c r="C1409">
        <v>6</v>
      </c>
      <c r="D1409" s="1" t="s">
        <v>267</v>
      </c>
      <c r="E1409">
        <v>9</v>
      </c>
    </row>
    <row r="1410" spans="1:5" x14ac:dyDescent="0.2">
      <c r="A1410">
        <v>10015860</v>
      </c>
      <c r="B1410">
        <v>24698912</v>
      </c>
      <c r="C1410">
        <v>28</v>
      </c>
      <c r="D1410" s="1" t="s">
        <v>977</v>
      </c>
      <c r="E1410">
        <v>10</v>
      </c>
    </row>
    <row r="1411" spans="1:5" x14ac:dyDescent="0.2">
      <c r="A1411">
        <v>10015860</v>
      </c>
      <c r="B1411">
        <v>24698912</v>
      </c>
      <c r="C1411">
        <v>12</v>
      </c>
      <c r="D1411" s="1" t="s">
        <v>864</v>
      </c>
      <c r="E1411">
        <v>10</v>
      </c>
    </row>
    <row r="1412" spans="1:5" x14ac:dyDescent="0.2">
      <c r="A1412">
        <v>10015860</v>
      </c>
      <c r="B1412">
        <v>24698912</v>
      </c>
      <c r="C1412">
        <v>24</v>
      </c>
      <c r="D1412" s="1" t="s">
        <v>788</v>
      </c>
      <c r="E1412">
        <v>10</v>
      </c>
    </row>
    <row r="1413" spans="1:5" x14ac:dyDescent="0.2">
      <c r="A1413">
        <v>10015860</v>
      </c>
      <c r="B1413">
        <v>24698912</v>
      </c>
      <c r="C1413">
        <v>11</v>
      </c>
      <c r="D1413" s="1" t="s">
        <v>978</v>
      </c>
      <c r="E1413">
        <v>10</v>
      </c>
    </row>
    <row r="1414" spans="1:5" x14ac:dyDescent="0.2">
      <c r="A1414">
        <v>10015860</v>
      </c>
      <c r="B1414">
        <v>24698912</v>
      </c>
      <c r="C1414">
        <v>33</v>
      </c>
      <c r="D1414" s="1" t="s">
        <v>430</v>
      </c>
      <c r="E1414">
        <v>10</v>
      </c>
    </row>
    <row r="1415" spans="1:5" x14ac:dyDescent="0.2">
      <c r="A1415">
        <v>10015860</v>
      </c>
      <c r="B1415">
        <v>24698912</v>
      </c>
      <c r="C1415">
        <v>23</v>
      </c>
      <c r="D1415" s="1" t="s">
        <v>979</v>
      </c>
      <c r="E1415">
        <v>10</v>
      </c>
    </row>
    <row r="1416" spans="1:5" x14ac:dyDescent="0.2">
      <c r="A1416">
        <v>10015860</v>
      </c>
      <c r="B1416">
        <v>24698912</v>
      </c>
      <c r="C1416">
        <v>9</v>
      </c>
      <c r="D1416" s="1" t="s">
        <v>980</v>
      </c>
      <c r="E1416">
        <v>10</v>
      </c>
    </row>
    <row r="1417" spans="1:5" x14ac:dyDescent="0.2">
      <c r="A1417">
        <v>10015860</v>
      </c>
      <c r="B1417">
        <v>24698912</v>
      </c>
      <c r="C1417">
        <v>21</v>
      </c>
      <c r="D1417" s="1" t="s">
        <v>981</v>
      </c>
      <c r="E1417">
        <v>10</v>
      </c>
    </row>
    <row r="1418" spans="1:5" x14ac:dyDescent="0.2">
      <c r="A1418">
        <v>10015860</v>
      </c>
      <c r="B1418">
        <v>24698912</v>
      </c>
      <c r="C1418">
        <v>30</v>
      </c>
      <c r="D1418" s="1" t="s">
        <v>982</v>
      </c>
      <c r="E1418">
        <v>10</v>
      </c>
    </row>
    <row r="1419" spans="1:5" x14ac:dyDescent="0.2">
      <c r="A1419">
        <v>10015860</v>
      </c>
      <c r="B1419">
        <v>24698912</v>
      </c>
      <c r="C1419">
        <v>14</v>
      </c>
      <c r="D1419" s="1" t="s">
        <v>983</v>
      </c>
      <c r="E1419">
        <v>10</v>
      </c>
    </row>
    <row r="1420" spans="1:5" x14ac:dyDescent="0.2">
      <c r="A1420">
        <v>10015860</v>
      </c>
      <c r="B1420">
        <v>24698912</v>
      </c>
      <c r="C1420">
        <v>18</v>
      </c>
      <c r="D1420" s="1" t="s">
        <v>984</v>
      </c>
      <c r="E1420">
        <v>10</v>
      </c>
    </row>
    <row r="1421" spans="1:5" x14ac:dyDescent="0.2">
      <c r="A1421">
        <v>10015860</v>
      </c>
      <c r="B1421">
        <v>24698912</v>
      </c>
      <c r="C1421">
        <v>8</v>
      </c>
      <c r="D1421" s="1" t="s">
        <v>429</v>
      </c>
      <c r="E1421">
        <v>10</v>
      </c>
    </row>
    <row r="1422" spans="1:5" x14ac:dyDescent="0.2">
      <c r="A1422">
        <v>10015860</v>
      </c>
      <c r="B1422">
        <v>24698912</v>
      </c>
      <c r="C1422">
        <v>4</v>
      </c>
      <c r="D1422" s="1" t="s">
        <v>625</v>
      </c>
      <c r="E1422">
        <v>10</v>
      </c>
    </row>
    <row r="1423" spans="1:5" x14ac:dyDescent="0.2">
      <c r="A1423">
        <v>10015860</v>
      </c>
      <c r="B1423">
        <v>24698912</v>
      </c>
      <c r="C1423">
        <v>15</v>
      </c>
      <c r="D1423" s="1" t="s">
        <v>629</v>
      </c>
      <c r="E1423">
        <v>10</v>
      </c>
    </row>
    <row r="1424" spans="1:5" x14ac:dyDescent="0.2">
      <c r="A1424">
        <v>10015860</v>
      </c>
      <c r="B1424">
        <v>24698912</v>
      </c>
      <c r="C1424">
        <v>19</v>
      </c>
      <c r="D1424" s="1" t="s">
        <v>985</v>
      </c>
      <c r="E1424">
        <v>10</v>
      </c>
    </row>
    <row r="1425" spans="1:5" x14ac:dyDescent="0.2">
      <c r="A1425">
        <v>10015860</v>
      </c>
      <c r="B1425">
        <v>24698912</v>
      </c>
      <c r="C1425">
        <v>7</v>
      </c>
      <c r="D1425" s="1" t="s">
        <v>986</v>
      </c>
      <c r="E1425">
        <v>10</v>
      </c>
    </row>
    <row r="1426" spans="1:5" x14ac:dyDescent="0.2">
      <c r="A1426">
        <v>10015860</v>
      </c>
      <c r="B1426">
        <v>24698912</v>
      </c>
      <c r="C1426">
        <v>31</v>
      </c>
      <c r="D1426" s="1" t="s">
        <v>620</v>
      </c>
      <c r="E1426">
        <v>10</v>
      </c>
    </row>
    <row r="1427" spans="1:5" x14ac:dyDescent="0.2">
      <c r="A1427">
        <v>10015860</v>
      </c>
      <c r="B1427">
        <v>24698912</v>
      </c>
      <c r="C1427">
        <v>25</v>
      </c>
      <c r="D1427" s="1" t="s">
        <v>987</v>
      </c>
      <c r="E1427">
        <v>10</v>
      </c>
    </row>
    <row r="1428" spans="1:5" x14ac:dyDescent="0.2">
      <c r="A1428">
        <v>10015860</v>
      </c>
      <c r="B1428">
        <v>24698912</v>
      </c>
      <c r="C1428">
        <v>32</v>
      </c>
      <c r="D1428" s="1" t="s">
        <v>988</v>
      </c>
      <c r="E1428">
        <v>10</v>
      </c>
    </row>
    <row r="1429" spans="1:5" x14ac:dyDescent="0.2">
      <c r="A1429">
        <v>10015860</v>
      </c>
      <c r="B1429">
        <v>24698912</v>
      </c>
      <c r="C1429">
        <v>13</v>
      </c>
      <c r="D1429" s="1" t="s">
        <v>989</v>
      </c>
      <c r="E1429">
        <v>10</v>
      </c>
    </row>
    <row r="1430" spans="1:5" x14ac:dyDescent="0.2">
      <c r="A1430">
        <v>10015860</v>
      </c>
      <c r="B1430">
        <v>24698912</v>
      </c>
      <c r="C1430">
        <v>16</v>
      </c>
      <c r="D1430" s="1" t="s">
        <v>601</v>
      </c>
      <c r="E1430">
        <v>10</v>
      </c>
    </row>
    <row r="1431" spans="1:5" x14ac:dyDescent="0.2">
      <c r="A1431">
        <v>10015860</v>
      </c>
      <c r="B1431">
        <v>24698912</v>
      </c>
      <c r="C1431">
        <v>3</v>
      </c>
      <c r="D1431" s="1" t="s">
        <v>990</v>
      </c>
      <c r="E1431">
        <v>10</v>
      </c>
    </row>
    <row r="1432" spans="1:5" x14ac:dyDescent="0.2">
      <c r="A1432">
        <v>10015860</v>
      </c>
      <c r="B1432">
        <v>24698912</v>
      </c>
      <c r="C1432">
        <v>20</v>
      </c>
      <c r="D1432" s="1" t="s">
        <v>337</v>
      </c>
      <c r="E1432">
        <v>10</v>
      </c>
    </row>
    <row r="1433" spans="1:5" x14ac:dyDescent="0.2">
      <c r="A1433">
        <v>10015860</v>
      </c>
      <c r="B1433">
        <v>24698912</v>
      </c>
      <c r="C1433">
        <v>17</v>
      </c>
      <c r="D1433" s="1" t="s">
        <v>871</v>
      </c>
      <c r="E1433">
        <v>10</v>
      </c>
    </row>
    <row r="1434" spans="1:5" x14ac:dyDescent="0.2">
      <c r="A1434">
        <v>10015860</v>
      </c>
      <c r="B1434">
        <v>24698912</v>
      </c>
      <c r="C1434">
        <v>22</v>
      </c>
      <c r="D1434" s="1" t="s">
        <v>991</v>
      </c>
      <c r="E1434">
        <v>10</v>
      </c>
    </row>
    <row r="1435" spans="1:5" x14ac:dyDescent="0.2">
      <c r="A1435">
        <v>10015860</v>
      </c>
      <c r="B1435">
        <v>24698912</v>
      </c>
      <c r="C1435">
        <v>1</v>
      </c>
      <c r="D1435" s="1" t="s">
        <v>564</v>
      </c>
      <c r="E1435">
        <v>10</v>
      </c>
    </row>
    <row r="1436" spans="1:5" x14ac:dyDescent="0.2">
      <c r="A1436">
        <v>10015860</v>
      </c>
      <c r="B1436">
        <v>24698912</v>
      </c>
      <c r="C1436">
        <v>10</v>
      </c>
      <c r="D1436" s="1" t="s">
        <v>992</v>
      </c>
      <c r="E1436">
        <v>10</v>
      </c>
    </row>
    <row r="1437" spans="1:5" x14ac:dyDescent="0.2">
      <c r="A1437">
        <v>10015860</v>
      </c>
      <c r="B1437">
        <v>24698912</v>
      </c>
      <c r="C1437">
        <v>27</v>
      </c>
      <c r="D1437" s="1" t="s">
        <v>329</v>
      </c>
      <c r="E1437">
        <v>10</v>
      </c>
    </row>
    <row r="1438" spans="1:5" x14ac:dyDescent="0.2">
      <c r="A1438">
        <v>10015860</v>
      </c>
      <c r="B1438">
        <v>24698912</v>
      </c>
      <c r="C1438">
        <v>26</v>
      </c>
      <c r="D1438" s="1" t="s">
        <v>883</v>
      </c>
      <c r="E1438">
        <v>10</v>
      </c>
    </row>
    <row r="1439" spans="1:5" x14ac:dyDescent="0.2">
      <c r="A1439">
        <v>10015860</v>
      </c>
      <c r="B1439">
        <v>24698912</v>
      </c>
      <c r="C1439">
        <v>6</v>
      </c>
      <c r="D1439" s="1" t="s">
        <v>993</v>
      </c>
      <c r="E1439">
        <v>10</v>
      </c>
    </row>
    <row r="1440" spans="1:5" x14ac:dyDescent="0.2">
      <c r="A1440">
        <v>10015860</v>
      </c>
      <c r="B1440">
        <v>24698912</v>
      </c>
      <c r="C1440">
        <v>5</v>
      </c>
      <c r="D1440" s="1" t="s">
        <v>994</v>
      </c>
      <c r="E1440">
        <v>10</v>
      </c>
    </row>
    <row r="1441" spans="1:5" x14ac:dyDescent="0.2">
      <c r="A1441">
        <v>10015860</v>
      </c>
      <c r="B1441">
        <v>24698912</v>
      </c>
      <c r="C1441">
        <v>2</v>
      </c>
      <c r="D1441" s="1" t="s">
        <v>882</v>
      </c>
      <c r="E1441">
        <v>10</v>
      </c>
    </row>
    <row r="1442" spans="1:5" x14ac:dyDescent="0.2">
      <c r="A1442">
        <v>10015860</v>
      </c>
      <c r="B1442">
        <v>24698912</v>
      </c>
      <c r="C1442">
        <v>29</v>
      </c>
      <c r="D1442" s="1" t="s">
        <v>478</v>
      </c>
      <c r="E1442">
        <v>10</v>
      </c>
    </row>
    <row r="1443" spans="1:5" x14ac:dyDescent="0.2">
      <c r="A1443">
        <v>10015860</v>
      </c>
      <c r="B1443">
        <v>22416954</v>
      </c>
      <c r="C1443">
        <v>3</v>
      </c>
      <c r="D1443" s="1" t="s">
        <v>864</v>
      </c>
      <c r="E1443">
        <v>10</v>
      </c>
    </row>
    <row r="1444" spans="1:5" x14ac:dyDescent="0.2">
      <c r="A1444">
        <v>10015860</v>
      </c>
      <c r="B1444">
        <v>22416954</v>
      </c>
      <c r="C1444">
        <v>6</v>
      </c>
      <c r="D1444" s="1" t="s">
        <v>884</v>
      </c>
      <c r="E1444">
        <v>10</v>
      </c>
    </row>
    <row r="1445" spans="1:5" x14ac:dyDescent="0.2">
      <c r="A1445">
        <v>10015860</v>
      </c>
      <c r="B1445">
        <v>22416954</v>
      </c>
      <c r="C1445">
        <v>1</v>
      </c>
      <c r="D1445" s="1" t="s">
        <v>995</v>
      </c>
      <c r="E1445">
        <v>10</v>
      </c>
    </row>
    <row r="1446" spans="1:5" x14ac:dyDescent="0.2">
      <c r="A1446">
        <v>10015860</v>
      </c>
      <c r="B1446">
        <v>22416954</v>
      </c>
      <c r="C1446">
        <v>10</v>
      </c>
      <c r="D1446" s="1" t="s">
        <v>312</v>
      </c>
      <c r="E1446">
        <v>10</v>
      </c>
    </row>
    <row r="1447" spans="1:5" x14ac:dyDescent="0.2">
      <c r="A1447">
        <v>10015860</v>
      </c>
      <c r="B1447">
        <v>22416954</v>
      </c>
      <c r="C1447">
        <v>4</v>
      </c>
      <c r="D1447" s="1" t="s">
        <v>994</v>
      </c>
      <c r="E1447">
        <v>10</v>
      </c>
    </row>
    <row r="1448" spans="1:5" x14ac:dyDescent="0.2">
      <c r="A1448">
        <v>10015860</v>
      </c>
      <c r="B1448">
        <v>22416954</v>
      </c>
      <c r="C1448">
        <v>7</v>
      </c>
      <c r="D1448" s="1" t="s">
        <v>996</v>
      </c>
      <c r="E1448">
        <v>10</v>
      </c>
    </row>
    <row r="1449" spans="1:5" x14ac:dyDescent="0.2">
      <c r="A1449">
        <v>10015860</v>
      </c>
      <c r="B1449">
        <v>22416954</v>
      </c>
      <c r="C1449">
        <v>8</v>
      </c>
      <c r="D1449" s="1" t="s">
        <v>997</v>
      </c>
      <c r="E1449">
        <v>10</v>
      </c>
    </row>
    <row r="1450" spans="1:5" x14ac:dyDescent="0.2">
      <c r="A1450">
        <v>10015860</v>
      </c>
      <c r="B1450">
        <v>22416954</v>
      </c>
      <c r="C1450">
        <v>9</v>
      </c>
      <c r="D1450" s="1" t="s">
        <v>329</v>
      </c>
      <c r="E1450">
        <v>10</v>
      </c>
    </row>
    <row r="1451" spans="1:5" x14ac:dyDescent="0.2">
      <c r="A1451">
        <v>10015860</v>
      </c>
      <c r="B1451">
        <v>22416954</v>
      </c>
      <c r="C1451">
        <v>11</v>
      </c>
      <c r="D1451" s="1" t="s">
        <v>430</v>
      </c>
      <c r="E1451">
        <v>10</v>
      </c>
    </row>
    <row r="1452" spans="1:5" x14ac:dyDescent="0.2">
      <c r="A1452">
        <v>10015860</v>
      </c>
      <c r="B1452">
        <v>22416954</v>
      </c>
      <c r="C1452">
        <v>2</v>
      </c>
      <c r="D1452" s="1" t="s">
        <v>998</v>
      </c>
      <c r="E1452">
        <v>10</v>
      </c>
    </row>
    <row r="1453" spans="1:5" x14ac:dyDescent="0.2">
      <c r="A1453">
        <v>10015860</v>
      </c>
      <c r="B1453">
        <v>22416954</v>
      </c>
      <c r="C1453">
        <v>12</v>
      </c>
      <c r="D1453" s="1" t="s">
        <v>620</v>
      </c>
      <c r="E1453">
        <v>10</v>
      </c>
    </row>
    <row r="1454" spans="1:5" x14ac:dyDescent="0.2">
      <c r="A1454">
        <v>10015860</v>
      </c>
      <c r="B1454">
        <v>22416954</v>
      </c>
      <c r="C1454">
        <v>5</v>
      </c>
      <c r="D1454" s="1" t="s">
        <v>882</v>
      </c>
      <c r="E1454">
        <v>10</v>
      </c>
    </row>
    <row r="1455" spans="1:5" x14ac:dyDescent="0.2">
      <c r="A1455">
        <v>10015860</v>
      </c>
      <c r="B1455">
        <v>22416954</v>
      </c>
      <c r="C1455">
        <v>13</v>
      </c>
      <c r="D1455" s="1" t="s">
        <v>988</v>
      </c>
      <c r="E1455">
        <v>10</v>
      </c>
    </row>
    <row r="1456" spans="1:5" x14ac:dyDescent="0.2">
      <c r="A1456">
        <v>10015860</v>
      </c>
      <c r="B1456">
        <v>20790339</v>
      </c>
      <c r="C1456">
        <v>10</v>
      </c>
      <c r="D1456" s="1" t="s">
        <v>999</v>
      </c>
      <c r="E1456">
        <v>9</v>
      </c>
    </row>
    <row r="1457" spans="1:5" x14ac:dyDescent="0.2">
      <c r="A1457">
        <v>10015860</v>
      </c>
      <c r="B1457">
        <v>20790339</v>
      </c>
      <c r="C1457">
        <v>11</v>
      </c>
      <c r="D1457" s="1" t="s">
        <v>416</v>
      </c>
      <c r="E1457">
        <v>9</v>
      </c>
    </row>
    <row r="1458" spans="1:5" x14ac:dyDescent="0.2">
      <c r="A1458">
        <v>10015860</v>
      </c>
      <c r="B1458">
        <v>20790339</v>
      </c>
      <c r="C1458">
        <v>5</v>
      </c>
      <c r="D1458" s="1" t="s">
        <v>713</v>
      </c>
      <c r="E1458">
        <v>9</v>
      </c>
    </row>
    <row r="1459" spans="1:5" x14ac:dyDescent="0.2">
      <c r="A1459">
        <v>10015860</v>
      </c>
      <c r="B1459">
        <v>20790339</v>
      </c>
      <c r="C1459">
        <v>2</v>
      </c>
      <c r="D1459" s="1" t="s">
        <v>273</v>
      </c>
      <c r="E1459">
        <v>9</v>
      </c>
    </row>
    <row r="1460" spans="1:5" x14ac:dyDescent="0.2">
      <c r="A1460">
        <v>10015860</v>
      </c>
      <c r="B1460">
        <v>20790339</v>
      </c>
      <c r="C1460">
        <v>16</v>
      </c>
      <c r="D1460" s="1" t="s">
        <v>1000</v>
      </c>
      <c r="E1460">
        <v>9</v>
      </c>
    </row>
    <row r="1461" spans="1:5" x14ac:dyDescent="0.2">
      <c r="A1461">
        <v>10015860</v>
      </c>
      <c r="B1461">
        <v>20790339</v>
      </c>
      <c r="C1461">
        <v>12</v>
      </c>
      <c r="D1461" s="1" t="s">
        <v>385</v>
      </c>
      <c r="E1461">
        <v>9</v>
      </c>
    </row>
    <row r="1462" spans="1:5" x14ac:dyDescent="0.2">
      <c r="A1462">
        <v>10015860</v>
      </c>
      <c r="B1462">
        <v>20790339</v>
      </c>
      <c r="C1462">
        <v>1</v>
      </c>
      <c r="D1462" s="1" t="s">
        <v>517</v>
      </c>
      <c r="E1462">
        <v>9</v>
      </c>
    </row>
    <row r="1463" spans="1:5" x14ac:dyDescent="0.2">
      <c r="A1463">
        <v>10015860</v>
      </c>
      <c r="B1463">
        <v>20790339</v>
      </c>
      <c r="C1463">
        <v>3</v>
      </c>
      <c r="D1463" s="1" t="s">
        <v>1001</v>
      </c>
      <c r="E1463">
        <v>9</v>
      </c>
    </row>
    <row r="1464" spans="1:5" x14ac:dyDescent="0.2">
      <c r="A1464">
        <v>10015860</v>
      </c>
      <c r="B1464">
        <v>20790339</v>
      </c>
      <c r="C1464">
        <v>9</v>
      </c>
      <c r="D1464" s="1" t="s">
        <v>260</v>
      </c>
      <c r="E1464">
        <v>9</v>
      </c>
    </row>
    <row r="1465" spans="1:5" x14ac:dyDescent="0.2">
      <c r="A1465">
        <v>10015860</v>
      </c>
      <c r="B1465">
        <v>20790339</v>
      </c>
      <c r="C1465">
        <v>13</v>
      </c>
      <c r="D1465" s="1" t="s">
        <v>1002</v>
      </c>
      <c r="E1465">
        <v>9</v>
      </c>
    </row>
    <row r="1466" spans="1:5" x14ac:dyDescent="0.2">
      <c r="A1466">
        <v>10015860</v>
      </c>
      <c r="B1466">
        <v>20790339</v>
      </c>
      <c r="C1466">
        <v>8</v>
      </c>
      <c r="D1466" s="1" t="s">
        <v>1003</v>
      </c>
      <c r="E1466">
        <v>9</v>
      </c>
    </row>
    <row r="1467" spans="1:5" x14ac:dyDescent="0.2">
      <c r="A1467">
        <v>10015860</v>
      </c>
      <c r="B1467">
        <v>20790339</v>
      </c>
      <c r="C1467">
        <v>6</v>
      </c>
      <c r="D1467" s="1" t="s">
        <v>390</v>
      </c>
      <c r="E1467">
        <v>9</v>
      </c>
    </row>
    <row r="1468" spans="1:5" x14ac:dyDescent="0.2">
      <c r="A1468">
        <v>10015860</v>
      </c>
      <c r="B1468">
        <v>20790339</v>
      </c>
      <c r="C1468">
        <v>17</v>
      </c>
      <c r="D1468" s="1" t="s">
        <v>633</v>
      </c>
      <c r="E1468">
        <v>9</v>
      </c>
    </row>
    <row r="1469" spans="1:5" x14ac:dyDescent="0.2">
      <c r="A1469">
        <v>10015860</v>
      </c>
      <c r="B1469">
        <v>20790339</v>
      </c>
      <c r="C1469">
        <v>15</v>
      </c>
      <c r="D1469" s="1" t="s">
        <v>382</v>
      </c>
      <c r="E1469">
        <v>9</v>
      </c>
    </row>
    <row r="1470" spans="1:5" x14ac:dyDescent="0.2">
      <c r="A1470">
        <v>10015860</v>
      </c>
      <c r="B1470">
        <v>20790339</v>
      </c>
      <c r="C1470">
        <v>18</v>
      </c>
      <c r="D1470" s="1" t="s">
        <v>668</v>
      </c>
      <c r="E1470">
        <v>9</v>
      </c>
    </row>
    <row r="1471" spans="1:5" x14ac:dyDescent="0.2">
      <c r="A1471">
        <v>10015860</v>
      </c>
      <c r="B1471">
        <v>20790339</v>
      </c>
      <c r="C1471">
        <v>4</v>
      </c>
      <c r="D1471" s="1" t="s">
        <v>1004</v>
      </c>
      <c r="E1471">
        <v>9</v>
      </c>
    </row>
    <row r="1472" spans="1:5" x14ac:dyDescent="0.2">
      <c r="A1472">
        <v>10015860</v>
      </c>
      <c r="B1472">
        <v>20790339</v>
      </c>
      <c r="C1472">
        <v>7</v>
      </c>
      <c r="D1472" s="1" t="s">
        <v>816</v>
      </c>
      <c r="E1472">
        <v>9</v>
      </c>
    </row>
    <row r="1473" spans="1:5" x14ac:dyDescent="0.2">
      <c r="A1473">
        <v>10015860</v>
      </c>
      <c r="B1473">
        <v>20790339</v>
      </c>
      <c r="C1473">
        <v>14</v>
      </c>
      <c r="D1473" s="1" t="s">
        <v>1005</v>
      </c>
      <c r="E1473">
        <v>9</v>
      </c>
    </row>
    <row r="1474" spans="1:5" x14ac:dyDescent="0.2">
      <c r="A1474">
        <v>10015860</v>
      </c>
      <c r="B1474">
        <v>22607171</v>
      </c>
      <c r="C1474">
        <v>7</v>
      </c>
      <c r="D1474" s="1" t="s">
        <v>423</v>
      </c>
      <c r="E1474">
        <v>10</v>
      </c>
    </row>
    <row r="1475" spans="1:5" x14ac:dyDescent="0.2">
      <c r="A1475">
        <v>10015860</v>
      </c>
      <c r="B1475">
        <v>22607171</v>
      </c>
      <c r="C1475">
        <v>2</v>
      </c>
      <c r="D1475" s="1" t="s">
        <v>1006</v>
      </c>
      <c r="E1475">
        <v>10</v>
      </c>
    </row>
    <row r="1476" spans="1:5" x14ac:dyDescent="0.2">
      <c r="A1476">
        <v>10015860</v>
      </c>
      <c r="B1476">
        <v>22607171</v>
      </c>
      <c r="C1476">
        <v>1</v>
      </c>
      <c r="D1476" s="1" t="s">
        <v>788</v>
      </c>
      <c r="E1476">
        <v>10</v>
      </c>
    </row>
    <row r="1477" spans="1:5" x14ac:dyDescent="0.2">
      <c r="A1477">
        <v>10015860</v>
      </c>
      <c r="B1477">
        <v>22607171</v>
      </c>
      <c r="C1477">
        <v>6</v>
      </c>
      <c r="D1477" s="1" t="s">
        <v>620</v>
      </c>
      <c r="E1477">
        <v>10</v>
      </c>
    </row>
    <row r="1478" spans="1:5" x14ac:dyDescent="0.2">
      <c r="A1478">
        <v>10015860</v>
      </c>
      <c r="B1478">
        <v>22607171</v>
      </c>
      <c r="C1478">
        <v>10</v>
      </c>
      <c r="D1478" s="1" t="s">
        <v>435</v>
      </c>
      <c r="E1478">
        <v>10</v>
      </c>
    </row>
    <row r="1479" spans="1:5" x14ac:dyDescent="0.2">
      <c r="A1479">
        <v>10015860</v>
      </c>
      <c r="B1479">
        <v>22607171</v>
      </c>
      <c r="C1479">
        <v>5</v>
      </c>
      <c r="D1479" s="1" t="s">
        <v>981</v>
      </c>
      <c r="E1479">
        <v>10</v>
      </c>
    </row>
    <row r="1480" spans="1:5" x14ac:dyDescent="0.2">
      <c r="A1480">
        <v>10015860</v>
      </c>
      <c r="B1480">
        <v>22607171</v>
      </c>
      <c r="C1480">
        <v>4</v>
      </c>
      <c r="D1480" s="1" t="s">
        <v>1007</v>
      </c>
      <c r="E1480">
        <v>10</v>
      </c>
    </row>
    <row r="1481" spans="1:5" x14ac:dyDescent="0.2">
      <c r="A1481">
        <v>10015860</v>
      </c>
      <c r="B1481">
        <v>22607171</v>
      </c>
      <c r="C1481">
        <v>8</v>
      </c>
      <c r="D1481" s="1" t="s">
        <v>621</v>
      </c>
      <c r="E1481">
        <v>10</v>
      </c>
    </row>
    <row r="1482" spans="1:5" x14ac:dyDescent="0.2">
      <c r="A1482">
        <v>10015860</v>
      </c>
      <c r="B1482">
        <v>22607171</v>
      </c>
      <c r="C1482">
        <v>3</v>
      </c>
      <c r="D1482" s="1" t="s">
        <v>991</v>
      </c>
      <c r="E1482">
        <v>10</v>
      </c>
    </row>
    <row r="1483" spans="1:5" x14ac:dyDescent="0.2">
      <c r="A1483">
        <v>10015860</v>
      </c>
      <c r="B1483">
        <v>22607171</v>
      </c>
      <c r="C1483">
        <v>11</v>
      </c>
      <c r="D1483" s="1" t="s">
        <v>430</v>
      </c>
      <c r="E1483">
        <v>10</v>
      </c>
    </row>
    <row r="1484" spans="1:5" x14ac:dyDescent="0.2">
      <c r="A1484">
        <v>10015860</v>
      </c>
      <c r="B1484">
        <v>22607171</v>
      </c>
      <c r="C1484">
        <v>9</v>
      </c>
      <c r="D1484" s="1" t="s">
        <v>630</v>
      </c>
      <c r="E1484">
        <v>10</v>
      </c>
    </row>
    <row r="1485" spans="1:5" x14ac:dyDescent="0.2">
      <c r="A1485">
        <v>10015860</v>
      </c>
      <c r="B1485">
        <v>28613200</v>
      </c>
      <c r="C1485">
        <v>2</v>
      </c>
      <c r="D1485" s="1" t="s">
        <v>1003</v>
      </c>
      <c r="E1485">
        <v>9</v>
      </c>
    </row>
    <row r="1486" spans="1:5" x14ac:dyDescent="0.2">
      <c r="A1486">
        <v>10015860</v>
      </c>
      <c r="B1486">
        <v>28613200</v>
      </c>
      <c r="C1486">
        <v>5</v>
      </c>
      <c r="D1486" s="1" t="s">
        <v>260</v>
      </c>
      <c r="E1486">
        <v>9</v>
      </c>
    </row>
    <row r="1487" spans="1:5" x14ac:dyDescent="0.2">
      <c r="A1487">
        <v>10015860</v>
      </c>
      <c r="B1487">
        <v>28613200</v>
      </c>
      <c r="C1487">
        <v>1</v>
      </c>
      <c r="D1487" s="1" t="s">
        <v>1008</v>
      </c>
      <c r="E1487">
        <v>9</v>
      </c>
    </row>
    <row r="1488" spans="1:5" x14ac:dyDescent="0.2">
      <c r="A1488">
        <v>10015860</v>
      </c>
      <c r="B1488">
        <v>28613200</v>
      </c>
      <c r="C1488">
        <v>3</v>
      </c>
      <c r="D1488" s="1" t="s">
        <v>1009</v>
      </c>
      <c r="E1488">
        <v>9</v>
      </c>
    </row>
    <row r="1489" spans="1:5" x14ac:dyDescent="0.2">
      <c r="A1489">
        <v>10015860</v>
      </c>
      <c r="B1489">
        <v>28613200</v>
      </c>
      <c r="C1489">
        <v>7</v>
      </c>
      <c r="D1489" s="1" t="s">
        <v>296</v>
      </c>
      <c r="E1489">
        <v>9</v>
      </c>
    </row>
    <row r="1490" spans="1:5" x14ac:dyDescent="0.2">
      <c r="A1490">
        <v>10015860</v>
      </c>
      <c r="B1490">
        <v>28613200</v>
      </c>
      <c r="C1490">
        <v>6</v>
      </c>
      <c r="D1490" s="1" t="s">
        <v>1010</v>
      </c>
      <c r="E1490">
        <v>9</v>
      </c>
    </row>
    <row r="1491" spans="1:5" x14ac:dyDescent="0.2">
      <c r="A1491">
        <v>10015860</v>
      </c>
      <c r="B1491">
        <v>28613200</v>
      </c>
      <c r="C1491">
        <v>4</v>
      </c>
      <c r="D1491" s="1" t="s">
        <v>1011</v>
      </c>
      <c r="E1491">
        <v>9</v>
      </c>
    </row>
    <row r="1492" spans="1:5" x14ac:dyDescent="0.2">
      <c r="A1492">
        <v>10015860</v>
      </c>
      <c r="B1492">
        <v>28613200</v>
      </c>
      <c r="C1492">
        <v>8</v>
      </c>
      <c r="D1492" s="1" t="s">
        <v>293</v>
      </c>
      <c r="E1492">
        <v>9</v>
      </c>
    </row>
    <row r="1493" spans="1:5" x14ac:dyDescent="0.2">
      <c r="A1493">
        <v>10015860</v>
      </c>
      <c r="B1493">
        <v>20854119</v>
      </c>
      <c r="C1493">
        <v>2</v>
      </c>
      <c r="D1493" s="1" t="s">
        <v>1012</v>
      </c>
      <c r="E1493">
        <v>9</v>
      </c>
    </row>
    <row r="1494" spans="1:5" x14ac:dyDescent="0.2">
      <c r="A1494">
        <v>10015860</v>
      </c>
      <c r="B1494">
        <v>20854119</v>
      </c>
      <c r="C1494">
        <v>14</v>
      </c>
      <c r="D1494" s="1" t="s">
        <v>385</v>
      </c>
      <c r="E1494">
        <v>9</v>
      </c>
    </row>
    <row r="1495" spans="1:5" x14ac:dyDescent="0.2">
      <c r="A1495">
        <v>10015860</v>
      </c>
      <c r="B1495">
        <v>20854119</v>
      </c>
      <c r="C1495">
        <v>13</v>
      </c>
      <c r="D1495" s="1" t="s">
        <v>261</v>
      </c>
      <c r="E1495">
        <v>9</v>
      </c>
    </row>
    <row r="1496" spans="1:5" x14ac:dyDescent="0.2">
      <c r="A1496">
        <v>10015860</v>
      </c>
      <c r="B1496">
        <v>20854119</v>
      </c>
      <c r="C1496">
        <v>9</v>
      </c>
      <c r="D1496" s="1" t="s">
        <v>713</v>
      </c>
      <c r="E1496">
        <v>9</v>
      </c>
    </row>
    <row r="1497" spans="1:5" x14ac:dyDescent="0.2">
      <c r="A1497">
        <v>10015860</v>
      </c>
      <c r="B1497">
        <v>20854119</v>
      </c>
      <c r="C1497">
        <v>5</v>
      </c>
      <c r="D1497" s="1" t="s">
        <v>1003</v>
      </c>
      <c r="E1497">
        <v>9</v>
      </c>
    </row>
    <row r="1498" spans="1:5" x14ac:dyDescent="0.2">
      <c r="A1498">
        <v>10015860</v>
      </c>
      <c r="B1498">
        <v>20854119</v>
      </c>
      <c r="C1498">
        <v>12</v>
      </c>
      <c r="D1498" s="1" t="s">
        <v>272</v>
      </c>
      <c r="E1498">
        <v>9</v>
      </c>
    </row>
    <row r="1499" spans="1:5" x14ac:dyDescent="0.2">
      <c r="A1499">
        <v>10015860</v>
      </c>
      <c r="B1499">
        <v>20854119</v>
      </c>
      <c r="C1499">
        <v>17</v>
      </c>
      <c r="D1499" s="1" t="s">
        <v>1013</v>
      </c>
      <c r="E1499">
        <v>9</v>
      </c>
    </row>
    <row r="1500" spans="1:5" x14ac:dyDescent="0.2">
      <c r="A1500">
        <v>10015860</v>
      </c>
      <c r="B1500">
        <v>20854119</v>
      </c>
      <c r="C1500">
        <v>11</v>
      </c>
      <c r="D1500" s="1" t="s">
        <v>416</v>
      </c>
      <c r="E1500">
        <v>9</v>
      </c>
    </row>
    <row r="1501" spans="1:5" x14ac:dyDescent="0.2">
      <c r="A1501">
        <v>10015860</v>
      </c>
      <c r="B1501">
        <v>20854119</v>
      </c>
      <c r="C1501">
        <v>3</v>
      </c>
      <c r="D1501" s="1" t="s">
        <v>1002</v>
      </c>
      <c r="E1501">
        <v>9</v>
      </c>
    </row>
    <row r="1502" spans="1:5" x14ac:dyDescent="0.2">
      <c r="A1502">
        <v>10015860</v>
      </c>
      <c r="B1502">
        <v>20854119</v>
      </c>
      <c r="C1502">
        <v>8</v>
      </c>
      <c r="D1502" s="1" t="s">
        <v>273</v>
      </c>
      <c r="E1502">
        <v>9</v>
      </c>
    </row>
    <row r="1503" spans="1:5" x14ac:dyDescent="0.2">
      <c r="A1503">
        <v>10015860</v>
      </c>
      <c r="B1503">
        <v>20854119</v>
      </c>
      <c r="C1503">
        <v>4</v>
      </c>
      <c r="D1503" s="1" t="s">
        <v>1004</v>
      </c>
      <c r="E1503">
        <v>9</v>
      </c>
    </row>
    <row r="1504" spans="1:5" x14ac:dyDescent="0.2">
      <c r="A1504">
        <v>10015860</v>
      </c>
      <c r="B1504">
        <v>20854119</v>
      </c>
      <c r="C1504">
        <v>7</v>
      </c>
      <c r="D1504" s="1" t="s">
        <v>1010</v>
      </c>
      <c r="E1504">
        <v>9</v>
      </c>
    </row>
    <row r="1505" spans="1:5" x14ac:dyDescent="0.2">
      <c r="A1505">
        <v>10015860</v>
      </c>
      <c r="B1505">
        <v>20854119</v>
      </c>
      <c r="C1505">
        <v>16</v>
      </c>
      <c r="D1505" s="1" t="s">
        <v>816</v>
      </c>
      <c r="E1505">
        <v>9</v>
      </c>
    </row>
    <row r="1506" spans="1:5" x14ac:dyDescent="0.2">
      <c r="A1506">
        <v>10015860</v>
      </c>
      <c r="B1506">
        <v>20854119</v>
      </c>
      <c r="C1506">
        <v>1</v>
      </c>
      <c r="D1506" s="1" t="s">
        <v>1001</v>
      </c>
      <c r="E1506">
        <v>9</v>
      </c>
    </row>
    <row r="1507" spans="1:5" x14ac:dyDescent="0.2">
      <c r="A1507">
        <v>10015860</v>
      </c>
      <c r="B1507">
        <v>20854119</v>
      </c>
      <c r="C1507">
        <v>15</v>
      </c>
      <c r="D1507" s="1" t="s">
        <v>382</v>
      </c>
      <c r="E1507">
        <v>9</v>
      </c>
    </row>
    <row r="1508" spans="1:5" x14ac:dyDescent="0.2">
      <c r="A1508">
        <v>10015860</v>
      </c>
      <c r="B1508">
        <v>20854119</v>
      </c>
      <c r="C1508">
        <v>10</v>
      </c>
      <c r="D1508" s="1" t="s">
        <v>1014</v>
      </c>
      <c r="E1508">
        <v>9</v>
      </c>
    </row>
    <row r="1509" spans="1:5" x14ac:dyDescent="0.2">
      <c r="A1509">
        <v>10015860</v>
      </c>
      <c r="B1509">
        <v>20854119</v>
      </c>
      <c r="C1509">
        <v>6</v>
      </c>
      <c r="D1509" s="1" t="s">
        <v>1009</v>
      </c>
      <c r="E1509">
        <v>9</v>
      </c>
    </row>
    <row r="1510" spans="1:5" x14ac:dyDescent="0.2">
      <c r="A1510">
        <v>10015860</v>
      </c>
      <c r="B1510">
        <v>26352758</v>
      </c>
      <c r="C1510">
        <v>7</v>
      </c>
      <c r="D1510" s="1" t="s">
        <v>996</v>
      </c>
      <c r="E1510">
        <v>10</v>
      </c>
    </row>
    <row r="1511" spans="1:5" x14ac:dyDescent="0.2">
      <c r="A1511">
        <v>10015860</v>
      </c>
      <c r="B1511">
        <v>26352758</v>
      </c>
      <c r="C1511">
        <v>1</v>
      </c>
      <c r="D1511" s="1" t="s">
        <v>1015</v>
      </c>
      <c r="E1511">
        <v>10</v>
      </c>
    </row>
    <row r="1512" spans="1:5" x14ac:dyDescent="0.2">
      <c r="A1512">
        <v>10015860</v>
      </c>
      <c r="B1512">
        <v>26352758</v>
      </c>
      <c r="C1512">
        <v>2</v>
      </c>
      <c r="D1512" s="1" t="s">
        <v>1016</v>
      </c>
      <c r="E1512">
        <v>10</v>
      </c>
    </row>
    <row r="1513" spans="1:5" x14ac:dyDescent="0.2">
      <c r="A1513">
        <v>10015860</v>
      </c>
      <c r="B1513">
        <v>26352758</v>
      </c>
      <c r="C1513">
        <v>11</v>
      </c>
      <c r="D1513" s="1" t="s">
        <v>787</v>
      </c>
      <c r="E1513">
        <v>10</v>
      </c>
    </row>
    <row r="1514" spans="1:5" x14ac:dyDescent="0.2">
      <c r="A1514">
        <v>10015860</v>
      </c>
      <c r="B1514">
        <v>26352758</v>
      </c>
      <c r="C1514">
        <v>4</v>
      </c>
      <c r="D1514" s="1" t="s">
        <v>994</v>
      </c>
      <c r="E1514">
        <v>10</v>
      </c>
    </row>
    <row r="1515" spans="1:5" x14ac:dyDescent="0.2">
      <c r="A1515">
        <v>10015860</v>
      </c>
      <c r="B1515">
        <v>26352758</v>
      </c>
      <c r="C1515">
        <v>12</v>
      </c>
      <c r="D1515" s="1" t="s">
        <v>884</v>
      </c>
      <c r="E1515">
        <v>10</v>
      </c>
    </row>
    <row r="1516" spans="1:5" x14ac:dyDescent="0.2">
      <c r="A1516">
        <v>10015860</v>
      </c>
      <c r="B1516">
        <v>26352758</v>
      </c>
      <c r="C1516">
        <v>8</v>
      </c>
      <c r="D1516" s="1" t="s">
        <v>334</v>
      </c>
      <c r="E1516">
        <v>10</v>
      </c>
    </row>
    <row r="1517" spans="1:5" x14ac:dyDescent="0.2">
      <c r="A1517">
        <v>10015860</v>
      </c>
      <c r="B1517">
        <v>26352758</v>
      </c>
      <c r="C1517">
        <v>5</v>
      </c>
      <c r="D1517" s="1" t="s">
        <v>882</v>
      </c>
      <c r="E1517">
        <v>10</v>
      </c>
    </row>
    <row r="1518" spans="1:5" x14ac:dyDescent="0.2">
      <c r="A1518">
        <v>10015860</v>
      </c>
      <c r="B1518">
        <v>26352758</v>
      </c>
      <c r="C1518">
        <v>13</v>
      </c>
      <c r="D1518" s="1" t="s">
        <v>620</v>
      </c>
      <c r="E1518">
        <v>10</v>
      </c>
    </row>
    <row r="1519" spans="1:5" x14ac:dyDescent="0.2">
      <c r="A1519">
        <v>10015860</v>
      </c>
      <c r="B1519">
        <v>26352758</v>
      </c>
      <c r="C1519">
        <v>14</v>
      </c>
      <c r="D1519" s="1" t="s">
        <v>988</v>
      </c>
      <c r="E1519">
        <v>10</v>
      </c>
    </row>
    <row r="1520" spans="1:5" x14ac:dyDescent="0.2">
      <c r="A1520">
        <v>10015860</v>
      </c>
      <c r="B1520">
        <v>26352758</v>
      </c>
      <c r="C1520">
        <v>6</v>
      </c>
      <c r="D1520" s="1" t="s">
        <v>864</v>
      </c>
      <c r="E1520">
        <v>10</v>
      </c>
    </row>
    <row r="1521" spans="1:5" x14ac:dyDescent="0.2">
      <c r="A1521">
        <v>10015860</v>
      </c>
      <c r="B1521">
        <v>26352758</v>
      </c>
      <c r="C1521">
        <v>15</v>
      </c>
      <c r="D1521" s="1" t="s">
        <v>430</v>
      </c>
      <c r="E1521">
        <v>10</v>
      </c>
    </row>
    <row r="1522" spans="1:5" x14ac:dyDescent="0.2">
      <c r="A1522">
        <v>10015860</v>
      </c>
      <c r="B1522">
        <v>26352758</v>
      </c>
      <c r="C1522">
        <v>3</v>
      </c>
      <c r="D1522" s="1" t="s">
        <v>1017</v>
      </c>
      <c r="E1522">
        <v>10</v>
      </c>
    </row>
    <row r="1523" spans="1:5" x14ac:dyDescent="0.2">
      <c r="A1523">
        <v>10015860</v>
      </c>
      <c r="B1523">
        <v>26352758</v>
      </c>
      <c r="C1523">
        <v>9</v>
      </c>
      <c r="D1523" s="1" t="s">
        <v>997</v>
      </c>
      <c r="E1523">
        <v>10</v>
      </c>
    </row>
    <row r="1524" spans="1:5" x14ac:dyDescent="0.2">
      <c r="A1524">
        <v>10015860</v>
      </c>
      <c r="B1524">
        <v>26352758</v>
      </c>
      <c r="C1524">
        <v>10</v>
      </c>
      <c r="D1524" s="1" t="s">
        <v>883</v>
      </c>
      <c r="E1524">
        <v>10</v>
      </c>
    </row>
    <row r="1525" spans="1:5" x14ac:dyDescent="0.2">
      <c r="A1525">
        <v>10015860</v>
      </c>
      <c r="B1525">
        <v>25085565</v>
      </c>
      <c r="C1525">
        <v>1</v>
      </c>
      <c r="D1525" s="1" t="s">
        <v>1012</v>
      </c>
      <c r="E1525">
        <v>9</v>
      </c>
    </row>
    <row r="1526" spans="1:5" x14ac:dyDescent="0.2">
      <c r="A1526">
        <v>10015860</v>
      </c>
      <c r="B1526">
        <v>25085565</v>
      </c>
      <c r="C1526">
        <v>9</v>
      </c>
      <c r="D1526" s="1" t="s">
        <v>1018</v>
      </c>
      <c r="E1526">
        <v>9</v>
      </c>
    </row>
    <row r="1527" spans="1:5" x14ac:dyDescent="0.2">
      <c r="A1527">
        <v>10015860</v>
      </c>
      <c r="B1527">
        <v>25085565</v>
      </c>
      <c r="C1527">
        <v>16</v>
      </c>
      <c r="D1527" s="1" t="s">
        <v>252</v>
      </c>
      <c r="E1527">
        <v>9</v>
      </c>
    </row>
    <row r="1528" spans="1:5" x14ac:dyDescent="0.2">
      <c r="A1528">
        <v>10015860</v>
      </c>
      <c r="B1528">
        <v>25085565</v>
      </c>
      <c r="C1528">
        <v>5</v>
      </c>
      <c r="D1528" s="1" t="s">
        <v>390</v>
      </c>
      <c r="E1528">
        <v>9</v>
      </c>
    </row>
    <row r="1529" spans="1:5" x14ac:dyDescent="0.2">
      <c r="A1529">
        <v>10015860</v>
      </c>
      <c r="B1529">
        <v>25085565</v>
      </c>
      <c r="C1529">
        <v>7</v>
      </c>
      <c r="D1529" s="1" t="s">
        <v>1004</v>
      </c>
      <c r="E1529">
        <v>9</v>
      </c>
    </row>
    <row r="1530" spans="1:5" x14ac:dyDescent="0.2">
      <c r="A1530">
        <v>10015860</v>
      </c>
      <c r="B1530">
        <v>25085565</v>
      </c>
      <c r="C1530">
        <v>6</v>
      </c>
      <c r="D1530" s="1" t="s">
        <v>1003</v>
      </c>
      <c r="E1530">
        <v>9</v>
      </c>
    </row>
    <row r="1531" spans="1:5" x14ac:dyDescent="0.2">
      <c r="A1531">
        <v>10015860</v>
      </c>
      <c r="B1531">
        <v>25085565</v>
      </c>
      <c r="C1531">
        <v>3</v>
      </c>
      <c r="D1531" s="1" t="s">
        <v>1019</v>
      </c>
      <c r="E1531">
        <v>9</v>
      </c>
    </row>
    <row r="1532" spans="1:5" x14ac:dyDescent="0.2">
      <c r="A1532">
        <v>10015860</v>
      </c>
      <c r="B1532">
        <v>25085565</v>
      </c>
      <c r="C1532">
        <v>11</v>
      </c>
      <c r="D1532" s="1" t="s">
        <v>406</v>
      </c>
      <c r="E1532">
        <v>9</v>
      </c>
    </row>
    <row r="1533" spans="1:5" x14ac:dyDescent="0.2">
      <c r="A1533">
        <v>10015860</v>
      </c>
      <c r="B1533">
        <v>25085565</v>
      </c>
      <c r="C1533">
        <v>14</v>
      </c>
      <c r="D1533" s="1" t="s">
        <v>1020</v>
      </c>
      <c r="E1533">
        <v>9</v>
      </c>
    </row>
    <row r="1534" spans="1:5" x14ac:dyDescent="0.2">
      <c r="A1534">
        <v>10015860</v>
      </c>
      <c r="B1534">
        <v>25085565</v>
      </c>
      <c r="C1534">
        <v>8</v>
      </c>
      <c r="D1534" s="1" t="s">
        <v>1002</v>
      </c>
      <c r="E1534">
        <v>9</v>
      </c>
    </row>
    <row r="1535" spans="1:5" x14ac:dyDescent="0.2">
      <c r="A1535">
        <v>10015860</v>
      </c>
      <c r="B1535">
        <v>25085565</v>
      </c>
      <c r="C1535">
        <v>15</v>
      </c>
      <c r="D1535" s="1" t="s">
        <v>1021</v>
      </c>
      <c r="E1535">
        <v>9</v>
      </c>
    </row>
    <row r="1536" spans="1:5" x14ac:dyDescent="0.2">
      <c r="A1536">
        <v>10015860</v>
      </c>
      <c r="B1536">
        <v>25085565</v>
      </c>
      <c r="C1536">
        <v>13</v>
      </c>
      <c r="D1536" s="1" t="s">
        <v>385</v>
      </c>
      <c r="E1536">
        <v>9</v>
      </c>
    </row>
    <row r="1537" spans="1:5" x14ac:dyDescent="0.2">
      <c r="A1537">
        <v>10015860</v>
      </c>
      <c r="B1537">
        <v>25085565</v>
      </c>
      <c r="C1537">
        <v>10</v>
      </c>
      <c r="D1537" s="1" t="s">
        <v>999</v>
      </c>
      <c r="E1537">
        <v>9</v>
      </c>
    </row>
    <row r="1538" spans="1:5" x14ac:dyDescent="0.2">
      <c r="A1538">
        <v>10015860</v>
      </c>
      <c r="B1538">
        <v>25085565</v>
      </c>
      <c r="C1538">
        <v>12</v>
      </c>
      <c r="D1538" s="1" t="s">
        <v>296</v>
      </c>
      <c r="E1538">
        <v>9</v>
      </c>
    </row>
    <row r="1539" spans="1:5" x14ac:dyDescent="0.2">
      <c r="A1539">
        <v>10015860</v>
      </c>
      <c r="B1539">
        <v>25085565</v>
      </c>
      <c r="C1539">
        <v>4</v>
      </c>
      <c r="D1539" s="1" t="s">
        <v>1022</v>
      </c>
      <c r="E1539">
        <v>9</v>
      </c>
    </row>
    <row r="1540" spans="1:5" x14ac:dyDescent="0.2">
      <c r="A1540">
        <v>10015860</v>
      </c>
      <c r="B1540">
        <v>25085565</v>
      </c>
      <c r="C1540">
        <v>2</v>
      </c>
      <c r="D1540" s="1" t="s">
        <v>468</v>
      </c>
      <c r="E1540">
        <v>9</v>
      </c>
    </row>
    <row r="1541" spans="1:5" x14ac:dyDescent="0.2">
      <c r="A1541">
        <v>10015860</v>
      </c>
      <c r="B1541">
        <v>28236161</v>
      </c>
      <c r="C1541">
        <v>6</v>
      </c>
      <c r="D1541" s="1" t="s">
        <v>359</v>
      </c>
      <c r="E1541">
        <v>9</v>
      </c>
    </row>
    <row r="1542" spans="1:5" x14ac:dyDescent="0.2">
      <c r="A1542">
        <v>10015860</v>
      </c>
      <c r="B1542">
        <v>28236161</v>
      </c>
      <c r="C1542">
        <v>5</v>
      </c>
      <c r="D1542" s="1" t="s">
        <v>385</v>
      </c>
      <c r="E1542">
        <v>9</v>
      </c>
    </row>
    <row r="1543" spans="1:5" x14ac:dyDescent="0.2">
      <c r="A1543">
        <v>10015860</v>
      </c>
      <c r="B1543">
        <v>28236161</v>
      </c>
      <c r="C1543">
        <v>1</v>
      </c>
      <c r="D1543" s="1" t="s">
        <v>1003</v>
      </c>
      <c r="E1543">
        <v>9</v>
      </c>
    </row>
    <row r="1544" spans="1:5" x14ac:dyDescent="0.2">
      <c r="A1544">
        <v>10015860</v>
      </c>
      <c r="B1544">
        <v>28236161</v>
      </c>
      <c r="C1544">
        <v>2</v>
      </c>
      <c r="D1544" s="1" t="s">
        <v>1019</v>
      </c>
      <c r="E1544">
        <v>9</v>
      </c>
    </row>
    <row r="1545" spans="1:5" x14ac:dyDescent="0.2">
      <c r="A1545">
        <v>10015860</v>
      </c>
      <c r="B1545">
        <v>28236161</v>
      </c>
      <c r="C1545">
        <v>3</v>
      </c>
      <c r="D1545" s="1" t="s">
        <v>384</v>
      </c>
      <c r="E1545">
        <v>9</v>
      </c>
    </row>
    <row r="1546" spans="1:5" x14ac:dyDescent="0.2">
      <c r="A1546">
        <v>10015860</v>
      </c>
      <c r="B1546">
        <v>28236161</v>
      </c>
      <c r="C1546">
        <v>4</v>
      </c>
      <c r="D1546" s="1" t="s">
        <v>296</v>
      </c>
      <c r="E1546">
        <v>9</v>
      </c>
    </row>
    <row r="1547" spans="1:5" x14ac:dyDescent="0.2">
      <c r="A1547">
        <v>10015860</v>
      </c>
      <c r="B1547">
        <v>25103777</v>
      </c>
      <c r="C1547">
        <v>1</v>
      </c>
      <c r="D1547" s="1" t="s">
        <v>1023</v>
      </c>
      <c r="E1547">
        <v>10</v>
      </c>
    </row>
    <row r="1548" spans="1:5" x14ac:dyDescent="0.2">
      <c r="A1548">
        <v>10015860</v>
      </c>
      <c r="B1548">
        <v>25103777</v>
      </c>
      <c r="C1548">
        <v>4</v>
      </c>
      <c r="D1548" s="1" t="s">
        <v>882</v>
      </c>
      <c r="E1548">
        <v>10</v>
      </c>
    </row>
    <row r="1549" spans="1:5" x14ac:dyDescent="0.2">
      <c r="A1549">
        <v>10015860</v>
      </c>
      <c r="B1549">
        <v>25103777</v>
      </c>
      <c r="C1549">
        <v>8</v>
      </c>
      <c r="D1549" s="1" t="s">
        <v>1024</v>
      </c>
      <c r="E1549">
        <v>10</v>
      </c>
    </row>
    <row r="1550" spans="1:5" x14ac:dyDescent="0.2">
      <c r="A1550">
        <v>10015860</v>
      </c>
      <c r="B1550">
        <v>25103777</v>
      </c>
      <c r="C1550">
        <v>3</v>
      </c>
      <c r="D1550" s="1" t="s">
        <v>1025</v>
      </c>
      <c r="E1550">
        <v>10</v>
      </c>
    </row>
    <row r="1551" spans="1:5" x14ac:dyDescent="0.2">
      <c r="A1551">
        <v>10015860</v>
      </c>
      <c r="B1551">
        <v>25103777</v>
      </c>
      <c r="C1551">
        <v>15</v>
      </c>
      <c r="D1551" s="1" t="s">
        <v>988</v>
      </c>
      <c r="E1551">
        <v>10</v>
      </c>
    </row>
    <row r="1552" spans="1:5" x14ac:dyDescent="0.2">
      <c r="A1552">
        <v>10015860</v>
      </c>
      <c r="B1552">
        <v>25103777</v>
      </c>
      <c r="C1552">
        <v>9</v>
      </c>
      <c r="D1552" s="1" t="s">
        <v>1026</v>
      </c>
      <c r="E1552">
        <v>10</v>
      </c>
    </row>
    <row r="1553" spans="1:5" x14ac:dyDescent="0.2">
      <c r="A1553">
        <v>10015860</v>
      </c>
      <c r="B1553">
        <v>25103777</v>
      </c>
      <c r="C1553">
        <v>10</v>
      </c>
      <c r="D1553" s="1" t="s">
        <v>329</v>
      </c>
      <c r="E1553">
        <v>10</v>
      </c>
    </row>
    <row r="1554" spans="1:5" x14ac:dyDescent="0.2">
      <c r="A1554">
        <v>10015860</v>
      </c>
      <c r="B1554">
        <v>25103777</v>
      </c>
      <c r="C1554">
        <v>13</v>
      </c>
      <c r="D1554" s="1" t="s">
        <v>1027</v>
      </c>
      <c r="E1554">
        <v>10</v>
      </c>
    </row>
    <row r="1555" spans="1:5" x14ac:dyDescent="0.2">
      <c r="A1555">
        <v>10015860</v>
      </c>
      <c r="B1555">
        <v>25103777</v>
      </c>
      <c r="C1555">
        <v>5</v>
      </c>
      <c r="D1555" s="1" t="s">
        <v>994</v>
      </c>
      <c r="E1555">
        <v>10</v>
      </c>
    </row>
    <row r="1556" spans="1:5" x14ac:dyDescent="0.2">
      <c r="A1556">
        <v>10015860</v>
      </c>
      <c r="B1556">
        <v>25103777</v>
      </c>
      <c r="C1556">
        <v>6</v>
      </c>
      <c r="D1556" s="1" t="s">
        <v>864</v>
      </c>
      <c r="E1556">
        <v>10</v>
      </c>
    </row>
    <row r="1557" spans="1:5" x14ac:dyDescent="0.2">
      <c r="A1557">
        <v>10015860</v>
      </c>
      <c r="B1557">
        <v>25103777</v>
      </c>
      <c r="C1557">
        <v>12</v>
      </c>
      <c r="D1557" s="1" t="s">
        <v>883</v>
      </c>
      <c r="E1557">
        <v>10</v>
      </c>
    </row>
    <row r="1558" spans="1:5" x14ac:dyDescent="0.2">
      <c r="A1558">
        <v>10015860</v>
      </c>
      <c r="B1558">
        <v>25103777</v>
      </c>
      <c r="C1558">
        <v>17</v>
      </c>
      <c r="D1558" s="1" t="s">
        <v>430</v>
      </c>
      <c r="E1558">
        <v>10</v>
      </c>
    </row>
    <row r="1559" spans="1:5" x14ac:dyDescent="0.2">
      <c r="A1559">
        <v>10015860</v>
      </c>
      <c r="B1559">
        <v>25103777</v>
      </c>
      <c r="C1559">
        <v>2</v>
      </c>
      <c r="D1559" s="1" t="s">
        <v>1028</v>
      </c>
      <c r="E1559">
        <v>10</v>
      </c>
    </row>
    <row r="1560" spans="1:5" x14ac:dyDescent="0.2">
      <c r="A1560">
        <v>10015860</v>
      </c>
      <c r="B1560">
        <v>25103777</v>
      </c>
      <c r="C1560">
        <v>11</v>
      </c>
      <c r="D1560" s="1" t="s">
        <v>1029</v>
      </c>
      <c r="E1560">
        <v>10</v>
      </c>
    </row>
    <row r="1561" spans="1:5" x14ac:dyDescent="0.2">
      <c r="A1561">
        <v>10015860</v>
      </c>
      <c r="B1561">
        <v>25103777</v>
      </c>
      <c r="C1561">
        <v>7</v>
      </c>
      <c r="D1561" s="1" t="s">
        <v>1006</v>
      </c>
      <c r="E1561">
        <v>10</v>
      </c>
    </row>
    <row r="1562" spans="1:5" x14ac:dyDescent="0.2">
      <c r="A1562">
        <v>10015860</v>
      </c>
      <c r="B1562">
        <v>25103777</v>
      </c>
      <c r="C1562">
        <v>16</v>
      </c>
      <c r="D1562" s="1" t="s">
        <v>620</v>
      </c>
      <c r="E1562">
        <v>10</v>
      </c>
    </row>
    <row r="1563" spans="1:5" x14ac:dyDescent="0.2">
      <c r="A1563">
        <v>10015860</v>
      </c>
      <c r="B1563">
        <v>25103777</v>
      </c>
      <c r="C1563">
        <v>14</v>
      </c>
      <c r="D1563" s="1" t="s">
        <v>884</v>
      </c>
      <c r="E1563">
        <v>10</v>
      </c>
    </row>
    <row r="1564" spans="1:5" x14ac:dyDescent="0.2">
      <c r="A1564">
        <v>10015860</v>
      </c>
      <c r="B1564">
        <v>22413744</v>
      </c>
      <c r="C1564">
        <v>13</v>
      </c>
      <c r="D1564" s="1" t="s">
        <v>621</v>
      </c>
      <c r="E1564">
        <v>10</v>
      </c>
    </row>
    <row r="1565" spans="1:5" x14ac:dyDescent="0.2">
      <c r="A1565">
        <v>10015860</v>
      </c>
      <c r="B1565">
        <v>22413744</v>
      </c>
      <c r="C1565">
        <v>7</v>
      </c>
      <c r="D1565" s="1" t="s">
        <v>1030</v>
      </c>
      <c r="E1565">
        <v>10</v>
      </c>
    </row>
    <row r="1566" spans="1:5" x14ac:dyDescent="0.2">
      <c r="A1566">
        <v>10015860</v>
      </c>
      <c r="B1566">
        <v>22413744</v>
      </c>
      <c r="C1566">
        <v>9</v>
      </c>
      <c r="D1566" s="1" t="s">
        <v>991</v>
      </c>
      <c r="E1566">
        <v>10</v>
      </c>
    </row>
    <row r="1567" spans="1:5" x14ac:dyDescent="0.2">
      <c r="A1567">
        <v>10015860</v>
      </c>
      <c r="B1567">
        <v>22413744</v>
      </c>
      <c r="C1567">
        <v>18</v>
      </c>
      <c r="D1567" s="1" t="s">
        <v>312</v>
      </c>
      <c r="E1567">
        <v>10</v>
      </c>
    </row>
    <row r="1568" spans="1:5" x14ac:dyDescent="0.2">
      <c r="A1568">
        <v>10015860</v>
      </c>
      <c r="B1568">
        <v>22413744</v>
      </c>
      <c r="C1568">
        <v>15</v>
      </c>
      <c r="D1568" s="1" t="s">
        <v>981</v>
      </c>
      <c r="E1568">
        <v>10</v>
      </c>
    </row>
    <row r="1569" spans="1:5" x14ac:dyDescent="0.2">
      <c r="A1569">
        <v>10015860</v>
      </c>
      <c r="B1569">
        <v>22413744</v>
      </c>
      <c r="C1569">
        <v>2</v>
      </c>
      <c r="D1569" s="1" t="s">
        <v>978</v>
      </c>
      <c r="E1569">
        <v>10</v>
      </c>
    </row>
    <row r="1570" spans="1:5" x14ac:dyDescent="0.2">
      <c r="A1570">
        <v>10015860</v>
      </c>
      <c r="B1570">
        <v>22413744</v>
      </c>
      <c r="C1570">
        <v>10</v>
      </c>
      <c r="D1570" s="1" t="s">
        <v>1007</v>
      </c>
      <c r="E1570">
        <v>10</v>
      </c>
    </row>
    <row r="1571" spans="1:5" x14ac:dyDescent="0.2">
      <c r="A1571">
        <v>10015860</v>
      </c>
      <c r="B1571">
        <v>22413744</v>
      </c>
      <c r="C1571">
        <v>4</v>
      </c>
      <c r="D1571" s="1" t="s">
        <v>423</v>
      </c>
      <c r="E1571">
        <v>10</v>
      </c>
    </row>
    <row r="1572" spans="1:5" x14ac:dyDescent="0.2">
      <c r="A1572">
        <v>10015860</v>
      </c>
      <c r="B1572">
        <v>22413744</v>
      </c>
      <c r="C1572">
        <v>5</v>
      </c>
      <c r="D1572" s="1" t="s">
        <v>630</v>
      </c>
      <c r="E1572">
        <v>10</v>
      </c>
    </row>
    <row r="1573" spans="1:5" x14ac:dyDescent="0.2">
      <c r="A1573">
        <v>10015860</v>
      </c>
      <c r="B1573">
        <v>22413744</v>
      </c>
      <c r="C1573">
        <v>3</v>
      </c>
      <c r="D1573" s="1" t="s">
        <v>625</v>
      </c>
      <c r="E1573">
        <v>10</v>
      </c>
    </row>
    <row r="1574" spans="1:5" x14ac:dyDescent="0.2">
      <c r="A1574">
        <v>10015860</v>
      </c>
      <c r="B1574">
        <v>22413744</v>
      </c>
      <c r="C1574">
        <v>6</v>
      </c>
      <c r="D1574" s="1" t="s">
        <v>864</v>
      </c>
      <c r="E1574">
        <v>10</v>
      </c>
    </row>
    <row r="1575" spans="1:5" x14ac:dyDescent="0.2">
      <c r="A1575">
        <v>10015860</v>
      </c>
      <c r="B1575">
        <v>22413744</v>
      </c>
      <c r="C1575">
        <v>8</v>
      </c>
      <c r="D1575" s="1" t="s">
        <v>429</v>
      </c>
      <c r="E1575">
        <v>10</v>
      </c>
    </row>
    <row r="1576" spans="1:5" x14ac:dyDescent="0.2">
      <c r="A1576">
        <v>10015860</v>
      </c>
      <c r="B1576">
        <v>22413744</v>
      </c>
      <c r="C1576">
        <v>11</v>
      </c>
      <c r="D1576" s="1" t="s">
        <v>788</v>
      </c>
      <c r="E1576">
        <v>10</v>
      </c>
    </row>
    <row r="1577" spans="1:5" x14ac:dyDescent="0.2">
      <c r="A1577">
        <v>10015860</v>
      </c>
      <c r="B1577">
        <v>22413744</v>
      </c>
      <c r="C1577">
        <v>19</v>
      </c>
      <c r="D1577" s="1" t="s">
        <v>1031</v>
      </c>
      <c r="E1577">
        <v>10</v>
      </c>
    </row>
    <row r="1578" spans="1:5" x14ac:dyDescent="0.2">
      <c r="A1578">
        <v>10015860</v>
      </c>
      <c r="B1578">
        <v>22413744</v>
      </c>
      <c r="C1578">
        <v>1</v>
      </c>
      <c r="D1578" s="1" t="s">
        <v>1032</v>
      </c>
      <c r="E1578">
        <v>10</v>
      </c>
    </row>
    <row r="1579" spans="1:5" x14ac:dyDescent="0.2">
      <c r="A1579">
        <v>10015860</v>
      </c>
      <c r="B1579">
        <v>22413744</v>
      </c>
      <c r="C1579">
        <v>12</v>
      </c>
      <c r="D1579" s="1" t="s">
        <v>620</v>
      </c>
      <c r="E1579">
        <v>10</v>
      </c>
    </row>
    <row r="1580" spans="1:5" x14ac:dyDescent="0.2">
      <c r="A1580">
        <v>10015860</v>
      </c>
      <c r="B1580">
        <v>22413744</v>
      </c>
      <c r="C1580">
        <v>14</v>
      </c>
      <c r="D1580" s="1" t="s">
        <v>430</v>
      </c>
      <c r="E1580">
        <v>10</v>
      </c>
    </row>
    <row r="1581" spans="1:5" x14ac:dyDescent="0.2">
      <c r="A1581">
        <v>10015860</v>
      </c>
      <c r="B1581">
        <v>22413744</v>
      </c>
      <c r="C1581">
        <v>20</v>
      </c>
      <c r="D1581" s="1" t="s">
        <v>1033</v>
      </c>
      <c r="E1581">
        <v>10</v>
      </c>
    </row>
    <row r="1582" spans="1:5" x14ac:dyDescent="0.2">
      <c r="A1582">
        <v>10015860</v>
      </c>
      <c r="B1582">
        <v>22413744</v>
      </c>
      <c r="C1582">
        <v>16</v>
      </c>
      <c r="D1582" s="1" t="s">
        <v>1024</v>
      </c>
      <c r="E1582">
        <v>10</v>
      </c>
    </row>
    <row r="1583" spans="1:5" x14ac:dyDescent="0.2">
      <c r="A1583">
        <v>10015860</v>
      </c>
      <c r="B1583">
        <v>22413744</v>
      </c>
      <c r="C1583">
        <v>17</v>
      </c>
      <c r="D1583" s="1" t="s">
        <v>1034</v>
      </c>
      <c r="E1583">
        <v>10</v>
      </c>
    </row>
    <row r="1584" spans="1:5" x14ac:dyDescent="0.2">
      <c r="A1584">
        <v>10015860</v>
      </c>
      <c r="B1584">
        <v>28196804</v>
      </c>
      <c r="C1584">
        <v>12</v>
      </c>
      <c r="D1584" s="1" t="s">
        <v>438</v>
      </c>
      <c r="E1584">
        <v>10</v>
      </c>
    </row>
    <row r="1585" spans="1:5" x14ac:dyDescent="0.2">
      <c r="A1585">
        <v>10015860</v>
      </c>
      <c r="B1585">
        <v>28196804</v>
      </c>
      <c r="C1585">
        <v>1</v>
      </c>
      <c r="D1585" s="1" t="s">
        <v>1035</v>
      </c>
      <c r="E1585">
        <v>10</v>
      </c>
    </row>
    <row r="1586" spans="1:5" x14ac:dyDescent="0.2">
      <c r="A1586">
        <v>10015860</v>
      </c>
      <c r="B1586">
        <v>28196804</v>
      </c>
      <c r="C1586">
        <v>7</v>
      </c>
      <c r="D1586" s="1" t="s">
        <v>1036</v>
      </c>
      <c r="E1586">
        <v>10</v>
      </c>
    </row>
    <row r="1587" spans="1:5" x14ac:dyDescent="0.2">
      <c r="A1587">
        <v>10015860</v>
      </c>
      <c r="B1587">
        <v>28196804</v>
      </c>
      <c r="C1587">
        <v>19</v>
      </c>
      <c r="D1587" s="1" t="s">
        <v>1037</v>
      </c>
      <c r="E1587">
        <v>10</v>
      </c>
    </row>
    <row r="1588" spans="1:5" x14ac:dyDescent="0.2">
      <c r="A1588">
        <v>10015860</v>
      </c>
      <c r="B1588">
        <v>28196804</v>
      </c>
      <c r="C1588">
        <v>4</v>
      </c>
      <c r="D1588" s="1" t="s">
        <v>1038</v>
      </c>
      <c r="E1588">
        <v>10</v>
      </c>
    </row>
    <row r="1589" spans="1:5" x14ac:dyDescent="0.2">
      <c r="A1589">
        <v>10015860</v>
      </c>
      <c r="B1589">
        <v>28196804</v>
      </c>
      <c r="C1589">
        <v>16</v>
      </c>
      <c r="D1589" s="1" t="s">
        <v>1039</v>
      </c>
      <c r="E1589">
        <v>10</v>
      </c>
    </row>
    <row r="1590" spans="1:5" x14ac:dyDescent="0.2">
      <c r="A1590">
        <v>10015860</v>
      </c>
      <c r="B1590">
        <v>28196804</v>
      </c>
      <c r="C1590">
        <v>14</v>
      </c>
      <c r="D1590" s="1" t="s">
        <v>620</v>
      </c>
      <c r="E1590">
        <v>10</v>
      </c>
    </row>
    <row r="1591" spans="1:5" x14ac:dyDescent="0.2">
      <c r="A1591">
        <v>10015860</v>
      </c>
      <c r="B1591">
        <v>28196804</v>
      </c>
      <c r="C1591">
        <v>17</v>
      </c>
      <c r="D1591" s="1" t="s">
        <v>1040</v>
      </c>
      <c r="E1591">
        <v>10</v>
      </c>
    </row>
    <row r="1592" spans="1:5" x14ac:dyDescent="0.2">
      <c r="A1592">
        <v>10015860</v>
      </c>
      <c r="B1592">
        <v>28196804</v>
      </c>
      <c r="C1592">
        <v>2</v>
      </c>
      <c r="D1592" s="1" t="s">
        <v>882</v>
      </c>
      <c r="E1592">
        <v>10</v>
      </c>
    </row>
    <row r="1593" spans="1:5" x14ac:dyDescent="0.2">
      <c r="A1593">
        <v>10015860</v>
      </c>
      <c r="B1593">
        <v>28196804</v>
      </c>
      <c r="C1593">
        <v>18</v>
      </c>
      <c r="D1593" s="1" t="s">
        <v>430</v>
      </c>
      <c r="E1593">
        <v>10</v>
      </c>
    </row>
    <row r="1594" spans="1:5" x14ac:dyDescent="0.2">
      <c r="A1594">
        <v>10015860</v>
      </c>
      <c r="B1594">
        <v>28196804</v>
      </c>
      <c r="C1594">
        <v>9</v>
      </c>
      <c r="D1594" s="1" t="s">
        <v>1041</v>
      </c>
      <c r="E1594">
        <v>10</v>
      </c>
    </row>
    <row r="1595" spans="1:5" x14ac:dyDescent="0.2">
      <c r="A1595">
        <v>10015860</v>
      </c>
      <c r="B1595">
        <v>28196804</v>
      </c>
      <c r="C1595">
        <v>6</v>
      </c>
      <c r="D1595" s="1" t="s">
        <v>1042</v>
      </c>
      <c r="E1595">
        <v>10</v>
      </c>
    </row>
    <row r="1596" spans="1:5" x14ac:dyDescent="0.2">
      <c r="A1596">
        <v>10015860</v>
      </c>
      <c r="B1596">
        <v>28196804</v>
      </c>
      <c r="C1596">
        <v>11</v>
      </c>
      <c r="D1596" s="1" t="s">
        <v>478</v>
      </c>
      <c r="E1596">
        <v>10</v>
      </c>
    </row>
    <row r="1597" spans="1:5" x14ac:dyDescent="0.2">
      <c r="A1597">
        <v>10015860</v>
      </c>
      <c r="B1597">
        <v>28196804</v>
      </c>
      <c r="C1597">
        <v>3</v>
      </c>
      <c r="D1597" s="1" t="s">
        <v>994</v>
      </c>
      <c r="E1597">
        <v>10</v>
      </c>
    </row>
    <row r="1598" spans="1:5" x14ac:dyDescent="0.2">
      <c r="A1598">
        <v>10015860</v>
      </c>
      <c r="B1598">
        <v>28196804</v>
      </c>
      <c r="C1598">
        <v>13</v>
      </c>
      <c r="D1598" s="1" t="s">
        <v>884</v>
      </c>
      <c r="E1598">
        <v>10</v>
      </c>
    </row>
    <row r="1599" spans="1:5" x14ac:dyDescent="0.2">
      <c r="A1599">
        <v>10015860</v>
      </c>
      <c r="B1599">
        <v>28196804</v>
      </c>
      <c r="C1599">
        <v>10</v>
      </c>
      <c r="D1599" s="1" t="s">
        <v>329</v>
      </c>
      <c r="E1599">
        <v>10</v>
      </c>
    </row>
    <row r="1600" spans="1:5" x14ac:dyDescent="0.2">
      <c r="A1600">
        <v>10015860</v>
      </c>
      <c r="B1600">
        <v>28196804</v>
      </c>
      <c r="C1600">
        <v>15</v>
      </c>
      <c r="D1600" s="1" t="s">
        <v>883</v>
      </c>
      <c r="E1600">
        <v>10</v>
      </c>
    </row>
    <row r="1601" spans="1:5" x14ac:dyDescent="0.2">
      <c r="A1601">
        <v>10015860</v>
      </c>
      <c r="B1601">
        <v>28196804</v>
      </c>
      <c r="C1601">
        <v>5</v>
      </c>
      <c r="D1601" s="1" t="s">
        <v>991</v>
      </c>
      <c r="E1601">
        <v>10</v>
      </c>
    </row>
    <row r="1602" spans="1:5" x14ac:dyDescent="0.2">
      <c r="A1602">
        <v>10015860</v>
      </c>
      <c r="B1602">
        <v>28196804</v>
      </c>
      <c r="C1602">
        <v>20</v>
      </c>
      <c r="D1602" s="1" t="s">
        <v>1043</v>
      </c>
      <c r="E1602">
        <v>10</v>
      </c>
    </row>
    <row r="1603" spans="1:5" x14ac:dyDescent="0.2">
      <c r="A1603">
        <v>10015860</v>
      </c>
      <c r="B1603">
        <v>28196804</v>
      </c>
      <c r="C1603">
        <v>8</v>
      </c>
      <c r="D1603" s="1" t="s">
        <v>864</v>
      </c>
      <c r="E1603">
        <v>10</v>
      </c>
    </row>
    <row r="1604" spans="1:5" x14ac:dyDescent="0.2">
      <c r="A1604">
        <v>10015860</v>
      </c>
      <c r="B1604">
        <v>27670224</v>
      </c>
      <c r="C1604">
        <v>11</v>
      </c>
      <c r="D1604" s="1" t="s">
        <v>728</v>
      </c>
      <c r="E1604">
        <v>9</v>
      </c>
    </row>
    <row r="1605" spans="1:5" x14ac:dyDescent="0.2">
      <c r="A1605">
        <v>10015860</v>
      </c>
      <c r="B1605">
        <v>27670224</v>
      </c>
      <c r="C1605">
        <v>9</v>
      </c>
      <c r="D1605" s="1" t="s">
        <v>261</v>
      </c>
      <c r="E1605">
        <v>9</v>
      </c>
    </row>
    <row r="1606" spans="1:5" x14ac:dyDescent="0.2">
      <c r="A1606">
        <v>10015860</v>
      </c>
      <c r="B1606">
        <v>27670224</v>
      </c>
      <c r="C1606">
        <v>5</v>
      </c>
      <c r="D1606" s="1" t="s">
        <v>413</v>
      </c>
      <c r="E1606">
        <v>9</v>
      </c>
    </row>
    <row r="1607" spans="1:5" x14ac:dyDescent="0.2">
      <c r="A1607">
        <v>10015860</v>
      </c>
      <c r="B1607">
        <v>27670224</v>
      </c>
      <c r="C1607">
        <v>1</v>
      </c>
      <c r="D1607" s="1" t="s">
        <v>1019</v>
      </c>
      <c r="E1607">
        <v>9</v>
      </c>
    </row>
    <row r="1608" spans="1:5" x14ac:dyDescent="0.2">
      <c r="A1608">
        <v>10015860</v>
      </c>
      <c r="B1608">
        <v>27670224</v>
      </c>
      <c r="C1608">
        <v>12</v>
      </c>
      <c r="D1608" s="1" t="s">
        <v>382</v>
      </c>
      <c r="E1608">
        <v>9</v>
      </c>
    </row>
    <row r="1609" spans="1:5" x14ac:dyDescent="0.2">
      <c r="A1609">
        <v>10015860</v>
      </c>
      <c r="B1609">
        <v>27670224</v>
      </c>
      <c r="C1609">
        <v>7</v>
      </c>
      <c r="D1609" s="1" t="s">
        <v>999</v>
      </c>
      <c r="E1609">
        <v>9</v>
      </c>
    </row>
    <row r="1610" spans="1:5" x14ac:dyDescent="0.2">
      <c r="A1610">
        <v>10015860</v>
      </c>
      <c r="B1610">
        <v>27670224</v>
      </c>
      <c r="C1610">
        <v>3</v>
      </c>
      <c r="D1610" s="1" t="s">
        <v>390</v>
      </c>
      <c r="E1610">
        <v>9</v>
      </c>
    </row>
    <row r="1611" spans="1:5" x14ac:dyDescent="0.2">
      <c r="A1611">
        <v>10015860</v>
      </c>
      <c r="B1611">
        <v>27670224</v>
      </c>
      <c r="C1611">
        <v>13</v>
      </c>
      <c r="D1611" s="1" t="s">
        <v>260</v>
      </c>
      <c r="E1611">
        <v>9</v>
      </c>
    </row>
    <row r="1612" spans="1:5" x14ac:dyDescent="0.2">
      <c r="A1612">
        <v>10015860</v>
      </c>
      <c r="B1612">
        <v>27670224</v>
      </c>
      <c r="C1612">
        <v>14</v>
      </c>
      <c r="D1612" s="1" t="s">
        <v>252</v>
      </c>
      <c r="E1612">
        <v>9</v>
      </c>
    </row>
    <row r="1613" spans="1:5" x14ac:dyDescent="0.2">
      <c r="A1613">
        <v>10015860</v>
      </c>
      <c r="B1613">
        <v>27670224</v>
      </c>
      <c r="C1613">
        <v>10</v>
      </c>
      <c r="D1613" s="1" t="s">
        <v>918</v>
      </c>
      <c r="E1613">
        <v>9</v>
      </c>
    </row>
    <row r="1614" spans="1:5" x14ac:dyDescent="0.2">
      <c r="A1614">
        <v>10015860</v>
      </c>
      <c r="B1614">
        <v>27670224</v>
      </c>
      <c r="C1614">
        <v>6</v>
      </c>
      <c r="D1614" s="1" t="s">
        <v>1004</v>
      </c>
      <c r="E1614">
        <v>9</v>
      </c>
    </row>
    <row r="1615" spans="1:5" x14ac:dyDescent="0.2">
      <c r="A1615">
        <v>10015860</v>
      </c>
      <c r="B1615">
        <v>27670224</v>
      </c>
      <c r="C1615">
        <v>4</v>
      </c>
      <c r="D1615" s="1" t="s">
        <v>416</v>
      </c>
      <c r="E1615">
        <v>9</v>
      </c>
    </row>
    <row r="1616" spans="1:5" x14ac:dyDescent="0.2">
      <c r="A1616">
        <v>10015860</v>
      </c>
      <c r="B1616">
        <v>27670224</v>
      </c>
      <c r="C1616">
        <v>8</v>
      </c>
      <c r="D1616" s="1" t="s">
        <v>385</v>
      </c>
      <c r="E1616">
        <v>9</v>
      </c>
    </row>
    <row r="1617" spans="1:5" x14ac:dyDescent="0.2">
      <c r="A1617">
        <v>10015860</v>
      </c>
      <c r="B1617">
        <v>27670224</v>
      </c>
      <c r="C1617">
        <v>2</v>
      </c>
      <c r="D1617" s="1" t="s">
        <v>1003</v>
      </c>
      <c r="E1617">
        <v>9</v>
      </c>
    </row>
    <row r="1618" spans="1:5" x14ac:dyDescent="0.2">
      <c r="A1618">
        <v>10020740</v>
      </c>
      <c r="B1618">
        <v>29820177</v>
      </c>
      <c r="C1618">
        <v>1</v>
      </c>
      <c r="D1618" s="1" t="s">
        <v>974</v>
      </c>
      <c r="E1618">
        <v>9</v>
      </c>
    </row>
    <row r="1619" spans="1:5" x14ac:dyDescent="0.2">
      <c r="A1619">
        <v>10020740</v>
      </c>
      <c r="B1619">
        <v>29820177</v>
      </c>
      <c r="C1619">
        <v>8</v>
      </c>
      <c r="D1619" s="1" t="s">
        <v>384</v>
      </c>
      <c r="E1619">
        <v>9</v>
      </c>
    </row>
    <row r="1620" spans="1:5" x14ac:dyDescent="0.2">
      <c r="A1620">
        <v>10020740</v>
      </c>
      <c r="B1620">
        <v>29820177</v>
      </c>
      <c r="C1620">
        <v>13</v>
      </c>
      <c r="D1620" s="1" t="s">
        <v>260</v>
      </c>
      <c r="E1620">
        <v>9</v>
      </c>
    </row>
    <row r="1621" spans="1:5" x14ac:dyDescent="0.2">
      <c r="A1621">
        <v>10020740</v>
      </c>
      <c r="B1621">
        <v>29820177</v>
      </c>
      <c r="C1621">
        <v>12</v>
      </c>
      <c r="D1621" s="1" t="s">
        <v>354</v>
      </c>
      <c r="E1621">
        <v>9</v>
      </c>
    </row>
    <row r="1622" spans="1:5" x14ac:dyDescent="0.2">
      <c r="A1622">
        <v>10020740</v>
      </c>
      <c r="B1622">
        <v>29820177</v>
      </c>
      <c r="C1622">
        <v>5</v>
      </c>
      <c r="D1622" s="1" t="s">
        <v>282</v>
      </c>
      <c r="E1622">
        <v>9</v>
      </c>
    </row>
    <row r="1623" spans="1:5" x14ac:dyDescent="0.2">
      <c r="A1623">
        <v>10020740</v>
      </c>
      <c r="B1623">
        <v>29820177</v>
      </c>
      <c r="C1623">
        <v>10</v>
      </c>
      <c r="D1623" s="1" t="s">
        <v>1044</v>
      </c>
      <c r="E1623">
        <v>9</v>
      </c>
    </row>
    <row r="1624" spans="1:5" x14ac:dyDescent="0.2">
      <c r="A1624">
        <v>10020740</v>
      </c>
      <c r="B1624">
        <v>29820177</v>
      </c>
      <c r="C1624">
        <v>7</v>
      </c>
      <c r="D1624" s="1" t="s">
        <v>406</v>
      </c>
      <c r="E1624">
        <v>9</v>
      </c>
    </row>
    <row r="1625" spans="1:5" x14ac:dyDescent="0.2">
      <c r="A1625">
        <v>10020740</v>
      </c>
      <c r="B1625">
        <v>29820177</v>
      </c>
      <c r="C1625">
        <v>3</v>
      </c>
      <c r="D1625" s="1" t="s">
        <v>1021</v>
      </c>
      <c r="E1625">
        <v>9</v>
      </c>
    </row>
    <row r="1626" spans="1:5" x14ac:dyDescent="0.2">
      <c r="A1626">
        <v>10020740</v>
      </c>
      <c r="B1626">
        <v>29820177</v>
      </c>
      <c r="C1626">
        <v>11</v>
      </c>
      <c r="D1626" s="1" t="s">
        <v>259</v>
      </c>
      <c r="E1626">
        <v>9</v>
      </c>
    </row>
    <row r="1627" spans="1:5" x14ac:dyDescent="0.2">
      <c r="A1627">
        <v>10020740</v>
      </c>
      <c r="B1627">
        <v>29820177</v>
      </c>
      <c r="C1627">
        <v>2</v>
      </c>
      <c r="D1627" s="1" t="s">
        <v>1045</v>
      </c>
      <c r="E1627">
        <v>9</v>
      </c>
    </row>
    <row r="1628" spans="1:5" x14ac:dyDescent="0.2">
      <c r="A1628">
        <v>10020740</v>
      </c>
      <c r="B1628">
        <v>29820177</v>
      </c>
      <c r="C1628">
        <v>4</v>
      </c>
      <c r="D1628" s="1" t="s">
        <v>648</v>
      </c>
      <c r="E1628">
        <v>9</v>
      </c>
    </row>
    <row r="1629" spans="1:5" x14ac:dyDescent="0.2">
      <c r="A1629">
        <v>10020740</v>
      </c>
      <c r="B1629">
        <v>29820177</v>
      </c>
      <c r="C1629">
        <v>14</v>
      </c>
      <c r="D1629" s="1" t="s">
        <v>1046</v>
      </c>
      <c r="E1629">
        <v>9</v>
      </c>
    </row>
    <row r="1630" spans="1:5" x14ac:dyDescent="0.2">
      <c r="A1630">
        <v>10020740</v>
      </c>
      <c r="B1630">
        <v>29820177</v>
      </c>
      <c r="C1630">
        <v>6</v>
      </c>
      <c r="D1630" s="1" t="s">
        <v>1047</v>
      </c>
      <c r="E1630">
        <v>9</v>
      </c>
    </row>
    <row r="1631" spans="1:5" x14ac:dyDescent="0.2">
      <c r="A1631">
        <v>10020740</v>
      </c>
      <c r="B1631">
        <v>29820177</v>
      </c>
      <c r="C1631">
        <v>9</v>
      </c>
      <c r="D1631" s="1" t="s">
        <v>368</v>
      </c>
      <c r="E1631">
        <v>9</v>
      </c>
    </row>
    <row r="1632" spans="1:5" x14ac:dyDescent="0.2">
      <c r="A1632">
        <v>10020740</v>
      </c>
      <c r="B1632">
        <v>23199774</v>
      </c>
      <c r="C1632">
        <v>3</v>
      </c>
      <c r="D1632" s="1" t="s">
        <v>1048</v>
      </c>
      <c r="E1632">
        <v>9</v>
      </c>
    </row>
    <row r="1633" spans="1:5" x14ac:dyDescent="0.2">
      <c r="A1633">
        <v>10020740</v>
      </c>
      <c r="B1633">
        <v>23199774</v>
      </c>
      <c r="C1633">
        <v>1</v>
      </c>
      <c r="D1633" s="1" t="s">
        <v>494</v>
      </c>
      <c r="E1633">
        <v>9</v>
      </c>
    </row>
    <row r="1634" spans="1:5" x14ac:dyDescent="0.2">
      <c r="A1634">
        <v>10020740</v>
      </c>
      <c r="B1634">
        <v>23199774</v>
      </c>
      <c r="C1634">
        <v>6</v>
      </c>
      <c r="D1634" s="1" t="s">
        <v>1049</v>
      </c>
      <c r="E1634">
        <v>9</v>
      </c>
    </row>
    <row r="1635" spans="1:5" x14ac:dyDescent="0.2">
      <c r="A1635">
        <v>10020740</v>
      </c>
      <c r="B1635">
        <v>23199774</v>
      </c>
      <c r="C1635">
        <v>4</v>
      </c>
      <c r="D1635" s="1" t="s">
        <v>384</v>
      </c>
      <c r="E1635">
        <v>9</v>
      </c>
    </row>
    <row r="1636" spans="1:5" x14ac:dyDescent="0.2">
      <c r="A1636">
        <v>10020740</v>
      </c>
      <c r="B1636">
        <v>23199774</v>
      </c>
      <c r="C1636">
        <v>5</v>
      </c>
      <c r="D1636" s="1" t="s">
        <v>260</v>
      </c>
      <c r="E1636">
        <v>9</v>
      </c>
    </row>
    <row r="1637" spans="1:5" x14ac:dyDescent="0.2">
      <c r="A1637">
        <v>10020740</v>
      </c>
      <c r="B1637">
        <v>23199774</v>
      </c>
      <c r="C1637">
        <v>2</v>
      </c>
      <c r="D1637" s="1" t="s">
        <v>1047</v>
      </c>
      <c r="E1637">
        <v>9</v>
      </c>
    </row>
    <row r="1638" spans="1:5" x14ac:dyDescent="0.2">
      <c r="A1638">
        <v>10020740</v>
      </c>
      <c r="B1638">
        <v>25826145</v>
      </c>
      <c r="C1638">
        <v>12</v>
      </c>
      <c r="D1638" s="1" t="s">
        <v>945</v>
      </c>
      <c r="E1638">
        <v>9</v>
      </c>
    </row>
    <row r="1639" spans="1:5" x14ac:dyDescent="0.2">
      <c r="A1639">
        <v>10020740</v>
      </c>
      <c r="B1639">
        <v>25826145</v>
      </c>
      <c r="C1639">
        <v>17</v>
      </c>
      <c r="D1639" s="1" t="s">
        <v>259</v>
      </c>
      <c r="E1639">
        <v>9</v>
      </c>
    </row>
    <row r="1640" spans="1:5" x14ac:dyDescent="0.2">
      <c r="A1640">
        <v>10020740</v>
      </c>
      <c r="B1640">
        <v>25826145</v>
      </c>
      <c r="C1640">
        <v>3</v>
      </c>
      <c r="D1640" s="1" t="s">
        <v>767</v>
      </c>
      <c r="E1640">
        <v>9</v>
      </c>
    </row>
    <row r="1641" spans="1:5" x14ac:dyDescent="0.2">
      <c r="A1641">
        <v>10020740</v>
      </c>
      <c r="B1641">
        <v>25826145</v>
      </c>
      <c r="C1641">
        <v>20</v>
      </c>
      <c r="D1641" s="1" t="s">
        <v>276</v>
      </c>
      <c r="E1641">
        <v>9</v>
      </c>
    </row>
    <row r="1642" spans="1:5" x14ac:dyDescent="0.2">
      <c r="A1642">
        <v>10020740</v>
      </c>
      <c r="B1642">
        <v>25826145</v>
      </c>
      <c r="C1642">
        <v>8</v>
      </c>
      <c r="D1642" s="1" t="s">
        <v>384</v>
      </c>
      <c r="E1642">
        <v>9</v>
      </c>
    </row>
    <row r="1643" spans="1:5" x14ac:dyDescent="0.2">
      <c r="A1643">
        <v>10020740</v>
      </c>
      <c r="B1643">
        <v>25826145</v>
      </c>
      <c r="C1643">
        <v>7</v>
      </c>
      <c r="D1643" s="1" t="s">
        <v>1045</v>
      </c>
      <c r="E1643">
        <v>9</v>
      </c>
    </row>
    <row r="1644" spans="1:5" x14ac:dyDescent="0.2">
      <c r="A1644">
        <v>10020740</v>
      </c>
      <c r="B1644">
        <v>25826145</v>
      </c>
      <c r="C1644">
        <v>11</v>
      </c>
      <c r="D1644" s="1" t="s">
        <v>1044</v>
      </c>
      <c r="E1644">
        <v>9</v>
      </c>
    </row>
    <row r="1645" spans="1:5" x14ac:dyDescent="0.2">
      <c r="A1645">
        <v>10020740</v>
      </c>
      <c r="B1645">
        <v>25826145</v>
      </c>
      <c r="C1645">
        <v>15</v>
      </c>
      <c r="D1645" s="1" t="s">
        <v>920</v>
      </c>
      <c r="E1645">
        <v>9</v>
      </c>
    </row>
    <row r="1646" spans="1:5" x14ac:dyDescent="0.2">
      <c r="A1646">
        <v>10020740</v>
      </c>
      <c r="B1646">
        <v>25826145</v>
      </c>
      <c r="C1646">
        <v>13</v>
      </c>
      <c r="D1646" s="1" t="s">
        <v>1050</v>
      </c>
      <c r="E1646">
        <v>9</v>
      </c>
    </row>
    <row r="1647" spans="1:5" x14ac:dyDescent="0.2">
      <c r="A1647">
        <v>10020740</v>
      </c>
      <c r="B1647">
        <v>25826145</v>
      </c>
      <c r="C1647">
        <v>14</v>
      </c>
      <c r="D1647" s="1" t="s">
        <v>272</v>
      </c>
      <c r="E1647">
        <v>9</v>
      </c>
    </row>
    <row r="1648" spans="1:5" x14ac:dyDescent="0.2">
      <c r="A1648">
        <v>10020740</v>
      </c>
      <c r="B1648">
        <v>25826145</v>
      </c>
      <c r="C1648">
        <v>10</v>
      </c>
      <c r="D1648" s="1" t="s">
        <v>368</v>
      </c>
      <c r="E1648">
        <v>9</v>
      </c>
    </row>
    <row r="1649" spans="1:5" x14ac:dyDescent="0.2">
      <c r="A1649">
        <v>10020740</v>
      </c>
      <c r="B1649">
        <v>25826145</v>
      </c>
      <c r="C1649">
        <v>6</v>
      </c>
      <c r="D1649" s="1" t="s">
        <v>961</v>
      </c>
      <c r="E1649">
        <v>9</v>
      </c>
    </row>
    <row r="1650" spans="1:5" x14ac:dyDescent="0.2">
      <c r="A1650">
        <v>10020740</v>
      </c>
      <c r="B1650">
        <v>25826145</v>
      </c>
      <c r="C1650">
        <v>16</v>
      </c>
      <c r="D1650" s="1" t="s">
        <v>406</v>
      </c>
      <c r="E1650">
        <v>9</v>
      </c>
    </row>
    <row r="1651" spans="1:5" x14ac:dyDescent="0.2">
      <c r="A1651">
        <v>10020740</v>
      </c>
      <c r="B1651">
        <v>25826145</v>
      </c>
      <c r="C1651">
        <v>19</v>
      </c>
      <c r="D1651" s="1" t="s">
        <v>282</v>
      </c>
      <c r="E1651">
        <v>9</v>
      </c>
    </row>
    <row r="1652" spans="1:5" x14ac:dyDescent="0.2">
      <c r="A1652">
        <v>10020740</v>
      </c>
      <c r="B1652">
        <v>25826145</v>
      </c>
      <c r="C1652">
        <v>4</v>
      </c>
      <c r="D1652" s="1" t="s">
        <v>268</v>
      </c>
      <c r="E1652">
        <v>9</v>
      </c>
    </row>
    <row r="1653" spans="1:5" x14ac:dyDescent="0.2">
      <c r="A1653">
        <v>10020740</v>
      </c>
      <c r="B1653">
        <v>25826145</v>
      </c>
      <c r="C1653">
        <v>9</v>
      </c>
      <c r="D1653" s="1" t="s">
        <v>1047</v>
      </c>
      <c r="E1653">
        <v>9</v>
      </c>
    </row>
    <row r="1654" spans="1:5" x14ac:dyDescent="0.2">
      <c r="A1654">
        <v>10020740</v>
      </c>
      <c r="B1654">
        <v>25826145</v>
      </c>
      <c r="C1654">
        <v>1</v>
      </c>
      <c r="D1654" s="1" t="s">
        <v>974</v>
      </c>
      <c r="E1654">
        <v>9</v>
      </c>
    </row>
    <row r="1655" spans="1:5" x14ac:dyDescent="0.2">
      <c r="A1655">
        <v>10020740</v>
      </c>
      <c r="B1655">
        <v>25826145</v>
      </c>
      <c r="C1655">
        <v>5</v>
      </c>
      <c r="D1655" s="1" t="s">
        <v>537</v>
      </c>
      <c r="E1655">
        <v>9</v>
      </c>
    </row>
    <row r="1656" spans="1:5" x14ac:dyDescent="0.2">
      <c r="A1656">
        <v>10020740</v>
      </c>
      <c r="B1656">
        <v>25826145</v>
      </c>
      <c r="C1656">
        <v>18</v>
      </c>
      <c r="D1656" s="1" t="s">
        <v>260</v>
      </c>
      <c r="E1656">
        <v>9</v>
      </c>
    </row>
    <row r="1657" spans="1:5" x14ac:dyDescent="0.2">
      <c r="A1657">
        <v>10020740</v>
      </c>
      <c r="B1657">
        <v>25826145</v>
      </c>
      <c r="C1657">
        <v>2</v>
      </c>
      <c r="D1657" s="1" t="s">
        <v>1051</v>
      </c>
      <c r="E1657">
        <v>9</v>
      </c>
    </row>
    <row r="1658" spans="1:5" x14ac:dyDescent="0.2">
      <c r="A1658">
        <v>10020740</v>
      </c>
      <c r="B1658">
        <v>23831430</v>
      </c>
      <c r="C1658">
        <v>21</v>
      </c>
      <c r="D1658" s="1" t="s">
        <v>272</v>
      </c>
      <c r="E1658">
        <v>9</v>
      </c>
    </row>
    <row r="1659" spans="1:5" x14ac:dyDescent="0.2">
      <c r="A1659">
        <v>10020740</v>
      </c>
      <c r="B1659">
        <v>23831430</v>
      </c>
      <c r="C1659">
        <v>4</v>
      </c>
      <c r="D1659" s="1" t="s">
        <v>392</v>
      </c>
      <c r="E1659">
        <v>9</v>
      </c>
    </row>
    <row r="1660" spans="1:5" x14ac:dyDescent="0.2">
      <c r="A1660">
        <v>10020740</v>
      </c>
      <c r="B1660">
        <v>23831430</v>
      </c>
      <c r="C1660">
        <v>23</v>
      </c>
      <c r="D1660" s="1" t="s">
        <v>274</v>
      </c>
      <c r="E1660">
        <v>9</v>
      </c>
    </row>
    <row r="1661" spans="1:5" x14ac:dyDescent="0.2">
      <c r="A1661">
        <v>10020740</v>
      </c>
      <c r="B1661">
        <v>23831430</v>
      </c>
      <c r="C1661">
        <v>14</v>
      </c>
      <c r="D1661" s="1" t="s">
        <v>368</v>
      </c>
      <c r="E1661">
        <v>9</v>
      </c>
    </row>
    <row r="1662" spans="1:5" x14ac:dyDescent="0.2">
      <c r="A1662">
        <v>10020740</v>
      </c>
      <c r="B1662">
        <v>23831430</v>
      </c>
      <c r="C1662">
        <v>15</v>
      </c>
      <c r="D1662" s="1" t="s">
        <v>1044</v>
      </c>
      <c r="E1662">
        <v>9</v>
      </c>
    </row>
    <row r="1663" spans="1:5" x14ac:dyDescent="0.2">
      <c r="A1663">
        <v>10020740</v>
      </c>
      <c r="B1663">
        <v>23831430</v>
      </c>
      <c r="C1663">
        <v>1</v>
      </c>
      <c r="D1663" s="1" t="s">
        <v>643</v>
      </c>
      <c r="E1663">
        <v>9</v>
      </c>
    </row>
    <row r="1664" spans="1:5" x14ac:dyDescent="0.2">
      <c r="A1664">
        <v>10020740</v>
      </c>
      <c r="B1664">
        <v>23831430</v>
      </c>
      <c r="C1664">
        <v>5</v>
      </c>
      <c r="D1664" s="1" t="s">
        <v>273</v>
      </c>
      <c r="E1664">
        <v>9</v>
      </c>
    </row>
    <row r="1665" spans="1:5" x14ac:dyDescent="0.2">
      <c r="A1665">
        <v>10020740</v>
      </c>
      <c r="B1665">
        <v>23831430</v>
      </c>
      <c r="C1665">
        <v>19</v>
      </c>
      <c r="D1665" s="1" t="s">
        <v>285</v>
      </c>
      <c r="E1665">
        <v>9</v>
      </c>
    </row>
    <row r="1666" spans="1:5" x14ac:dyDescent="0.2">
      <c r="A1666">
        <v>10020740</v>
      </c>
      <c r="B1666">
        <v>23831430</v>
      </c>
      <c r="C1666">
        <v>24</v>
      </c>
      <c r="D1666" s="1" t="s">
        <v>395</v>
      </c>
      <c r="E1666">
        <v>9</v>
      </c>
    </row>
    <row r="1667" spans="1:5" x14ac:dyDescent="0.2">
      <c r="A1667">
        <v>10020740</v>
      </c>
      <c r="B1667">
        <v>23831430</v>
      </c>
      <c r="C1667">
        <v>20</v>
      </c>
      <c r="D1667" s="1" t="s">
        <v>268</v>
      </c>
      <c r="E1667">
        <v>9</v>
      </c>
    </row>
    <row r="1668" spans="1:5" x14ac:dyDescent="0.2">
      <c r="A1668">
        <v>10020740</v>
      </c>
      <c r="B1668">
        <v>23831430</v>
      </c>
      <c r="C1668">
        <v>16</v>
      </c>
      <c r="D1668" s="1" t="s">
        <v>259</v>
      </c>
      <c r="E1668">
        <v>9</v>
      </c>
    </row>
    <row r="1669" spans="1:5" x14ac:dyDescent="0.2">
      <c r="A1669">
        <v>10020740</v>
      </c>
      <c r="B1669">
        <v>23831430</v>
      </c>
      <c r="C1669">
        <v>7</v>
      </c>
      <c r="D1669" s="1" t="s">
        <v>403</v>
      </c>
      <c r="E1669">
        <v>9</v>
      </c>
    </row>
    <row r="1670" spans="1:5" x14ac:dyDescent="0.2">
      <c r="A1670">
        <v>10020740</v>
      </c>
      <c r="B1670">
        <v>23831430</v>
      </c>
      <c r="C1670">
        <v>10</v>
      </c>
      <c r="D1670" s="1" t="s">
        <v>767</v>
      </c>
      <c r="E1670">
        <v>9</v>
      </c>
    </row>
    <row r="1671" spans="1:5" x14ac:dyDescent="0.2">
      <c r="A1671">
        <v>10020740</v>
      </c>
      <c r="B1671">
        <v>23831430</v>
      </c>
      <c r="C1671">
        <v>12</v>
      </c>
      <c r="D1671" s="1" t="s">
        <v>1002</v>
      </c>
      <c r="E1671">
        <v>9</v>
      </c>
    </row>
    <row r="1672" spans="1:5" x14ac:dyDescent="0.2">
      <c r="A1672">
        <v>10020740</v>
      </c>
      <c r="B1672">
        <v>23831430</v>
      </c>
      <c r="C1672">
        <v>3</v>
      </c>
      <c r="D1672" s="1" t="s">
        <v>516</v>
      </c>
      <c r="E1672">
        <v>9</v>
      </c>
    </row>
    <row r="1673" spans="1:5" x14ac:dyDescent="0.2">
      <c r="A1673">
        <v>10020740</v>
      </c>
      <c r="B1673">
        <v>23831430</v>
      </c>
      <c r="C1673">
        <v>6</v>
      </c>
      <c r="D1673" s="1" t="s">
        <v>401</v>
      </c>
      <c r="E1673">
        <v>9</v>
      </c>
    </row>
    <row r="1674" spans="1:5" x14ac:dyDescent="0.2">
      <c r="A1674">
        <v>10020740</v>
      </c>
      <c r="B1674">
        <v>23831430</v>
      </c>
      <c r="C1674">
        <v>11</v>
      </c>
      <c r="D1674" s="1" t="s">
        <v>1052</v>
      </c>
      <c r="E1674">
        <v>9</v>
      </c>
    </row>
    <row r="1675" spans="1:5" x14ac:dyDescent="0.2">
      <c r="A1675">
        <v>10020740</v>
      </c>
      <c r="B1675">
        <v>23831430</v>
      </c>
      <c r="C1675">
        <v>18</v>
      </c>
      <c r="D1675" s="1" t="s">
        <v>1053</v>
      </c>
      <c r="E1675">
        <v>9</v>
      </c>
    </row>
    <row r="1676" spans="1:5" x14ac:dyDescent="0.2">
      <c r="A1676">
        <v>10020740</v>
      </c>
      <c r="B1676">
        <v>23831430</v>
      </c>
      <c r="C1676">
        <v>2</v>
      </c>
      <c r="D1676" s="1" t="s">
        <v>974</v>
      </c>
      <c r="E1676">
        <v>9</v>
      </c>
    </row>
    <row r="1677" spans="1:5" x14ac:dyDescent="0.2">
      <c r="A1677">
        <v>10020740</v>
      </c>
      <c r="B1677">
        <v>23831430</v>
      </c>
      <c r="C1677">
        <v>13</v>
      </c>
      <c r="D1677" s="1" t="s">
        <v>384</v>
      </c>
      <c r="E1677">
        <v>9</v>
      </c>
    </row>
    <row r="1678" spans="1:5" x14ac:dyDescent="0.2">
      <c r="A1678">
        <v>10020740</v>
      </c>
      <c r="B1678">
        <v>23831430</v>
      </c>
      <c r="C1678">
        <v>9</v>
      </c>
      <c r="D1678" s="1" t="s">
        <v>1054</v>
      </c>
      <c r="E1678">
        <v>9</v>
      </c>
    </row>
    <row r="1679" spans="1:5" x14ac:dyDescent="0.2">
      <c r="A1679">
        <v>10020740</v>
      </c>
      <c r="B1679">
        <v>23831430</v>
      </c>
      <c r="C1679">
        <v>8</v>
      </c>
      <c r="D1679" s="1" t="s">
        <v>1055</v>
      </c>
      <c r="E1679">
        <v>9</v>
      </c>
    </row>
    <row r="1680" spans="1:5" x14ac:dyDescent="0.2">
      <c r="A1680">
        <v>10020740</v>
      </c>
      <c r="B1680">
        <v>23831430</v>
      </c>
      <c r="C1680">
        <v>17</v>
      </c>
      <c r="D1680" s="1" t="s">
        <v>1056</v>
      </c>
      <c r="E1680">
        <v>9</v>
      </c>
    </row>
    <row r="1681" spans="1:5" x14ac:dyDescent="0.2">
      <c r="A1681">
        <v>10020740</v>
      </c>
      <c r="B1681">
        <v>23831430</v>
      </c>
      <c r="C1681">
        <v>22</v>
      </c>
      <c r="D1681" s="1" t="s">
        <v>1057</v>
      </c>
      <c r="E1681">
        <v>9</v>
      </c>
    </row>
    <row r="1682" spans="1:5" x14ac:dyDescent="0.2">
      <c r="A1682">
        <v>10020740</v>
      </c>
      <c r="B1682">
        <v>23143086</v>
      </c>
      <c r="C1682">
        <v>1</v>
      </c>
      <c r="D1682" s="1" t="s">
        <v>1058</v>
      </c>
      <c r="E1682">
        <v>9</v>
      </c>
    </row>
    <row r="1683" spans="1:5" x14ac:dyDescent="0.2">
      <c r="A1683">
        <v>10020740</v>
      </c>
      <c r="B1683">
        <v>23143086</v>
      </c>
      <c r="C1683">
        <v>2</v>
      </c>
      <c r="D1683" s="1" t="s">
        <v>384</v>
      </c>
      <c r="E1683">
        <v>9</v>
      </c>
    </row>
    <row r="1684" spans="1:5" x14ac:dyDescent="0.2">
      <c r="A1684">
        <v>10020740</v>
      </c>
      <c r="B1684">
        <v>23143086</v>
      </c>
      <c r="C1684">
        <v>3</v>
      </c>
      <c r="D1684" s="1" t="s">
        <v>260</v>
      </c>
      <c r="E1684">
        <v>9</v>
      </c>
    </row>
    <row r="1685" spans="1:5" x14ac:dyDescent="0.2">
      <c r="A1685">
        <v>10031757</v>
      </c>
      <c r="B1685">
        <v>28477280</v>
      </c>
      <c r="C1685">
        <v>35</v>
      </c>
      <c r="D1685" s="1" t="s">
        <v>1059</v>
      </c>
      <c r="E1685">
        <v>9</v>
      </c>
    </row>
    <row r="1686" spans="1:5" x14ac:dyDescent="0.2">
      <c r="A1686">
        <v>10031757</v>
      </c>
      <c r="B1686">
        <v>28477280</v>
      </c>
      <c r="C1686">
        <v>17</v>
      </c>
      <c r="D1686" s="1" t="s">
        <v>259</v>
      </c>
      <c r="E1686">
        <v>9</v>
      </c>
    </row>
    <row r="1687" spans="1:5" x14ac:dyDescent="0.2">
      <c r="A1687">
        <v>10031757</v>
      </c>
      <c r="B1687">
        <v>28477280</v>
      </c>
      <c r="C1687">
        <v>24</v>
      </c>
      <c r="D1687" s="1" t="s">
        <v>382</v>
      </c>
      <c r="E1687">
        <v>9</v>
      </c>
    </row>
    <row r="1688" spans="1:5" x14ac:dyDescent="0.2">
      <c r="A1688">
        <v>10031757</v>
      </c>
      <c r="B1688">
        <v>28477280</v>
      </c>
      <c r="C1688">
        <v>10</v>
      </c>
      <c r="D1688" s="1" t="s">
        <v>409</v>
      </c>
      <c r="E1688">
        <v>9</v>
      </c>
    </row>
    <row r="1689" spans="1:5" x14ac:dyDescent="0.2">
      <c r="A1689">
        <v>10031757</v>
      </c>
      <c r="B1689">
        <v>28477280</v>
      </c>
      <c r="C1689">
        <v>18</v>
      </c>
      <c r="D1689" s="1" t="s">
        <v>253</v>
      </c>
      <c r="E1689">
        <v>9</v>
      </c>
    </row>
    <row r="1690" spans="1:5" x14ac:dyDescent="0.2">
      <c r="A1690">
        <v>10031757</v>
      </c>
      <c r="B1690">
        <v>28477280</v>
      </c>
      <c r="C1690">
        <v>23</v>
      </c>
      <c r="D1690" s="1" t="s">
        <v>359</v>
      </c>
      <c r="E1690">
        <v>9</v>
      </c>
    </row>
    <row r="1691" spans="1:5" x14ac:dyDescent="0.2">
      <c r="A1691">
        <v>10031757</v>
      </c>
      <c r="B1691">
        <v>28477280</v>
      </c>
      <c r="C1691">
        <v>28</v>
      </c>
      <c r="D1691" s="1" t="s">
        <v>293</v>
      </c>
      <c r="E1691">
        <v>9</v>
      </c>
    </row>
    <row r="1692" spans="1:5" x14ac:dyDescent="0.2">
      <c r="A1692">
        <v>10031757</v>
      </c>
      <c r="B1692">
        <v>28477280</v>
      </c>
      <c r="C1692">
        <v>14</v>
      </c>
      <c r="D1692" s="1" t="s">
        <v>1060</v>
      </c>
      <c r="E1692">
        <v>9</v>
      </c>
    </row>
    <row r="1693" spans="1:5" x14ac:dyDescent="0.2">
      <c r="A1693">
        <v>10031757</v>
      </c>
      <c r="B1693">
        <v>28477280</v>
      </c>
      <c r="C1693">
        <v>32</v>
      </c>
      <c r="D1693" s="1" t="s">
        <v>543</v>
      </c>
      <c r="E1693">
        <v>9</v>
      </c>
    </row>
    <row r="1694" spans="1:5" x14ac:dyDescent="0.2">
      <c r="A1694">
        <v>10031757</v>
      </c>
      <c r="B1694">
        <v>28477280</v>
      </c>
      <c r="C1694">
        <v>15</v>
      </c>
      <c r="D1694" s="1" t="s">
        <v>285</v>
      </c>
      <c r="E1694">
        <v>9</v>
      </c>
    </row>
    <row r="1695" spans="1:5" x14ac:dyDescent="0.2">
      <c r="A1695">
        <v>10031757</v>
      </c>
      <c r="B1695">
        <v>28477280</v>
      </c>
      <c r="C1695">
        <v>21</v>
      </c>
      <c r="D1695" s="1" t="s">
        <v>348</v>
      </c>
      <c r="E1695">
        <v>9</v>
      </c>
    </row>
    <row r="1696" spans="1:5" x14ac:dyDescent="0.2">
      <c r="A1696">
        <v>10031757</v>
      </c>
      <c r="B1696">
        <v>28477280</v>
      </c>
      <c r="C1696">
        <v>7</v>
      </c>
      <c r="D1696" s="1" t="s">
        <v>267</v>
      </c>
      <c r="E1696">
        <v>9</v>
      </c>
    </row>
    <row r="1697" spans="1:5" x14ac:dyDescent="0.2">
      <c r="A1697">
        <v>10031757</v>
      </c>
      <c r="B1697">
        <v>28477280</v>
      </c>
      <c r="C1697">
        <v>11</v>
      </c>
      <c r="D1697" s="1" t="s">
        <v>502</v>
      </c>
      <c r="E1697">
        <v>9</v>
      </c>
    </row>
    <row r="1698" spans="1:5" x14ac:dyDescent="0.2">
      <c r="A1698">
        <v>10031757</v>
      </c>
      <c r="B1698">
        <v>28477280</v>
      </c>
      <c r="C1698">
        <v>27</v>
      </c>
      <c r="D1698" s="1" t="s">
        <v>1061</v>
      </c>
      <c r="E1698">
        <v>9</v>
      </c>
    </row>
    <row r="1699" spans="1:5" x14ac:dyDescent="0.2">
      <c r="A1699">
        <v>10031757</v>
      </c>
      <c r="B1699">
        <v>28477280</v>
      </c>
      <c r="C1699">
        <v>34</v>
      </c>
      <c r="D1699" s="1" t="s">
        <v>834</v>
      </c>
      <c r="E1699">
        <v>9</v>
      </c>
    </row>
    <row r="1700" spans="1:5" x14ac:dyDescent="0.2">
      <c r="A1700">
        <v>10031757</v>
      </c>
      <c r="B1700">
        <v>28477280</v>
      </c>
      <c r="C1700">
        <v>1</v>
      </c>
      <c r="D1700" s="1" t="s">
        <v>1062</v>
      </c>
      <c r="E1700">
        <v>9</v>
      </c>
    </row>
    <row r="1701" spans="1:5" x14ac:dyDescent="0.2">
      <c r="A1701">
        <v>10031757</v>
      </c>
      <c r="B1701">
        <v>28477280</v>
      </c>
      <c r="C1701">
        <v>16</v>
      </c>
      <c r="D1701" s="1" t="s">
        <v>296</v>
      </c>
      <c r="E1701">
        <v>9</v>
      </c>
    </row>
    <row r="1702" spans="1:5" x14ac:dyDescent="0.2">
      <c r="A1702">
        <v>10031757</v>
      </c>
      <c r="B1702">
        <v>28477280</v>
      </c>
      <c r="C1702">
        <v>20</v>
      </c>
      <c r="D1702" s="1" t="s">
        <v>368</v>
      </c>
      <c r="E1702">
        <v>9</v>
      </c>
    </row>
    <row r="1703" spans="1:5" x14ac:dyDescent="0.2">
      <c r="A1703">
        <v>10031757</v>
      </c>
      <c r="B1703">
        <v>28477280</v>
      </c>
      <c r="C1703">
        <v>2</v>
      </c>
      <c r="D1703" s="1" t="s">
        <v>1063</v>
      </c>
      <c r="E1703">
        <v>9</v>
      </c>
    </row>
    <row r="1704" spans="1:5" x14ac:dyDescent="0.2">
      <c r="A1704">
        <v>10031757</v>
      </c>
      <c r="B1704">
        <v>28477280</v>
      </c>
      <c r="C1704">
        <v>3</v>
      </c>
      <c r="D1704" s="1" t="s">
        <v>643</v>
      </c>
      <c r="E1704">
        <v>9</v>
      </c>
    </row>
    <row r="1705" spans="1:5" x14ac:dyDescent="0.2">
      <c r="A1705">
        <v>10031757</v>
      </c>
      <c r="B1705">
        <v>28477280</v>
      </c>
      <c r="C1705">
        <v>33</v>
      </c>
      <c r="D1705" s="1" t="s">
        <v>837</v>
      </c>
      <c r="E1705">
        <v>9</v>
      </c>
    </row>
    <row r="1706" spans="1:5" x14ac:dyDescent="0.2">
      <c r="A1706">
        <v>10031757</v>
      </c>
      <c r="B1706">
        <v>28477280</v>
      </c>
      <c r="C1706">
        <v>22</v>
      </c>
      <c r="D1706" s="1" t="s">
        <v>406</v>
      </c>
      <c r="E1706">
        <v>9</v>
      </c>
    </row>
    <row r="1707" spans="1:5" x14ac:dyDescent="0.2">
      <c r="A1707">
        <v>10031757</v>
      </c>
      <c r="B1707">
        <v>28477280</v>
      </c>
      <c r="C1707">
        <v>19</v>
      </c>
      <c r="D1707" s="1" t="s">
        <v>466</v>
      </c>
      <c r="E1707">
        <v>9</v>
      </c>
    </row>
    <row r="1708" spans="1:5" x14ac:dyDescent="0.2">
      <c r="A1708">
        <v>10031757</v>
      </c>
      <c r="B1708">
        <v>28477280</v>
      </c>
      <c r="C1708">
        <v>4</v>
      </c>
      <c r="D1708" s="1" t="s">
        <v>708</v>
      </c>
      <c r="E1708">
        <v>9</v>
      </c>
    </row>
    <row r="1709" spans="1:5" x14ac:dyDescent="0.2">
      <c r="A1709">
        <v>10031757</v>
      </c>
      <c r="B1709">
        <v>28477280</v>
      </c>
      <c r="C1709">
        <v>9</v>
      </c>
      <c r="D1709" s="1" t="s">
        <v>263</v>
      </c>
      <c r="E1709">
        <v>9</v>
      </c>
    </row>
    <row r="1710" spans="1:5" x14ac:dyDescent="0.2">
      <c r="A1710">
        <v>10031757</v>
      </c>
      <c r="B1710">
        <v>28477280</v>
      </c>
      <c r="C1710">
        <v>30</v>
      </c>
      <c r="D1710" s="1" t="s">
        <v>553</v>
      </c>
      <c r="E1710">
        <v>9</v>
      </c>
    </row>
    <row r="1711" spans="1:5" x14ac:dyDescent="0.2">
      <c r="A1711">
        <v>10031757</v>
      </c>
      <c r="B1711">
        <v>28477280</v>
      </c>
      <c r="C1711">
        <v>37</v>
      </c>
      <c r="D1711" s="1" t="s">
        <v>825</v>
      </c>
      <c r="E1711">
        <v>9</v>
      </c>
    </row>
    <row r="1712" spans="1:5" x14ac:dyDescent="0.2">
      <c r="A1712">
        <v>10031757</v>
      </c>
      <c r="B1712">
        <v>28477280</v>
      </c>
      <c r="C1712">
        <v>13</v>
      </c>
      <c r="D1712" s="1" t="s">
        <v>948</v>
      </c>
      <c r="E1712">
        <v>9</v>
      </c>
    </row>
    <row r="1713" spans="1:5" x14ac:dyDescent="0.2">
      <c r="A1713">
        <v>10031757</v>
      </c>
      <c r="B1713">
        <v>28477280</v>
      </c>
      <c r="C1713">
        <v>25</v>
      </c>
      <c r="D1713" s="1" t="s">
        <v>782</v>
      </c>
      <c r="E1713">
        <v>9</v>
      </c>
    </row>
    <row r="1714" spans="1:5" x14ac:dyDescent="0.2">
      <c r="A1714">
        <v>10031757</v>
      </c>
      <c r="B1714">
        <v>28477280</v>
      </c>
      <c r="C1714">
        <v>31</v>
      </c>
      <c r="D1714" s="1" t="s">
        <v>400</v>
      </c>
      <c r="E1714">
        <v>9</v>
      </c>
    </row>
    <row r="1715" spans="1:5" x14ac:dyDescent="0.2">
      <c r="A1715">
        <v>10031757</v>
      </c>
      <c r="B1715">
        <v>28477280</v>
      </c>
      <c r="C1715">
        <v>5</v>
      </c>
      <c r="D1715" s="1" t="s">
        <v>804</v>
      </c>
      <c r="E1715">
        <v>9</v>
      </c>
    </row>
    <row r="1716" spans="1:5" x14ac:dyDescent="0.2">
      <c r="A1716">
        <v>10031757</v>
      </c>
      <c r="B1716">
        <v>28477280</v>
      </c>
      <c r="C1716">
        <v>8</v>
      </c>
      <c r="D1716" s="1" t="s">
        <v>268</v>
      </c>
      <c r="E1716">
        <v>9</v>
      </c>
    </row>
    <row r="1717" spans="1:5" x14ac:dyDescent="0.2">
      <c r="A1717">
        <v>10031757</v>
      </c>
      <c r="B1717">
        <v>28477280</v>
      </c>
      <c r="C1717">
        <v>36</v>
      </c>
      <c r="D1717" s="1" t="s">
        <v>261</v>
      </c>
      <c r="E1717">
        <v>9</v>
      </c>
    </row>
    <row r="1718" spans="1:5" x14ac:dyDescent="0.2">
      <c r="A1718">
        <v>10031757</v>
      </c>
      <c r="B1718">
        <v>28477280</v>
      </c>
      <c r="C1718">
        <v>26</v>
      </c>
      <c r="D1718" s="1" t="s">
        <v>1064</v>
      </c>
      <c r="E1718">
        <v>9</v>
      </c>
    </row>
    <row r="1719" spans="1:5" x14ac:dyDescent="0.2">
      <c r="A1719">
        <v>10031757</v>
      </c>
      <c r="B1719">
        <v>28477280</v>
      </c>
      <c r="C1719">
        <v>12</v>
      </c>
      <c r="D1719" s="1" t="s">
        <v>1065</v>
      </c>
      <c r="E1719">
        <v>9</v>
      </c>
    </row>
    <row r="1720" spans="1:5" x14ac:dyDescent="0.2">
      <c r="A1720">
        <v>10031757</v>
      </c>
      <c r="B1720">
        <v>28477280</v>
      </c>
      <c r="C1720">
        <v>29</v>
      </c>
      <c r="D1720" s="1" t="s">
        <v>272</v>
      </c>
      <c r="E1720">
        <v>9</v>
      </c>
    </row>
    <row r="1721" spans="1:5" x14ac:dyDescent="0.2">
      <c r="A1721">
        <v>10031757</v>
      </c>
      <c r="B1721">
        <v>28477280</v>
      </c>
      <c r="C1721">
        <v>6</v>
      </c>
      <c r="D1721" s="1" t="s">
        <v>829</v>
      </c>
      <c r="E1721">
        <v>9</v>
      </c>
    </row>
    <row r="1722" spans="1:5" x14ac:dyDescent="0.2">
      <c r="A1722">
        <v>10014354</v>
      </c>
      <c r="B1722">
        <v>29780751</v>
      </c>
      <c r="C1722">
        <v>10</v>
      </c>
      <c r="D1722" s="1" t="s">
        <v>1066</v>
      </c>
      <c r="E1722">
        <v>10</v>
      </c>
    </row>
    <row r="1723" spans="1:5" x14ac:dyDescent="0.2">
      <c r="A1723">
        <v>10014354</v>
      </c>
      <c r="B1723">
        <v>29780751</v>
      </c>
      <c r="C1723">
        <v>6</v>
      </c>
      <c r="D1723" s="1" t="s">
        <v>1067</v>
      </c>
      <c r="E1723">
        <v>10</v>
      </c>
    </row>
    <row r="1724" spans="1:5" x14ac:dyDescent="0.2">
      <c r="A1724">
        <v>10014354</v>
      </c>
      <c r="B1724">
        <v>29780751</v>
      </c>
      <c r="C1724">
        <v>9</v>
      </c>
      <c r="D1724" s="1" t="s">
        <v>477</v>
      </c>
      <c r="E1724">
        <v>10</v>
      </c>
    </row>
    <row r="1725" spans="1:5" x14ac:dyDescent="0.2">
      <c r="A1725">
        <v>10014354</v>
      </c>
      <c r="B1725">
        <v>29780751</v>
      </c>
      <c r="C1725">
        <v>4</v>
      </c>
      <c r="D1725" s="1" t="s">
        <v>1068</v>
      </c>
      <c r="E1725">
        <v>10</v>
      </c>
    </row>
    <row r="1726" spans="1:5" x14ac:dyDescent="0.2">
      <c r="A1726">
        <v>10014354</v>
      </c>
      <c r="B1726">
        <v>29780751</v>
      </c>
      <c r="C1726">
        <v>21</v>
      </c>
      <c r="D1726" s="1" t="s">
        <v>1069</v>
      </c>
      <c r="E1726">
        <v>10</v>
      </c>
    </row>
    <row r="1727" spans="1:5" x14ac:dyDescent="0.2">
      <c r="A1727">
        <v>10014354</v>
      </c>
      <c r="B1727">
        <v>29780751</v>
      </c>
      <c r="C1727">
        <v>14</v>
      </c>
      <c r="D1727" s="1" t="s">
        <v>889</v>
      </c>
      <c r="E1727">
        <v>10</v>
      </c>
    </row>
    <row r="1728" spans="1:5" x14ac:dyDescent="0.2">
      <c r="A1728">
        <v>10014354</v>
      </c>
      <c r="B1728">
        <v>29780751</v>
      </c>
      <c r="C1728">
        <v>15</v>
      </c>
      <c r="D1728" s="1" t="s">
        <v>1070</v>
      </c>
      <c r="E1728">
        <v>10</v>
      </c>
    </row>
    <row r="1729" spans="1:5" x14ac:dyDescent="0.2">
      <c r="A1729">
        <v>10014354</v>
      </c>
      <c r="B1729">
        <v>29780751</v>
      </c>
      <c r="C1729">
        <v>17</v>
      </c>
      <c r="D1729" s="1" t="s">
        <v>1071</v>
      </c>
      <c r="E1729">
        <v>10</v>
      </c>
    </row>
    <row r="1730" spans="1:5" x14ac:dyDescent="0.2">
      <c r="A1730">
        <v>10014354</v>
      </c>
      <c r="B1730">
        <v>29780751</v>
      </c>
      <c r="C1730">
        <v>19</v>
      </c>
      <c r="D1730" s="1" t="s">
        <v>1072</v>
      </c>
      <c r="E1730">
        <v>10</v>
      </c>
    </row>
    <row r="1731" spans="1:5" x14ac:dyDescent="0.2">
      <c r="A1731">
        <v>10014354</v>
      </c>
      <c r="B1731">
        <v>29780751</v>
      </c>
      <c r="C1731">
        <v>23</v>
      </c>
      <c r="D1731" s="1" t="s">
        <v>1073</v>
      </c>
      <c r="E1731">
        <v>10</v>
      </c>
    </row>
    <row r="1732" spans="1:5" x14ac:dyDescent="0.2">
      <c r="A1732">
        <v>10014354</v>
      </c>
      <c r="B1732">
        <v>29780751</v>
      </c>
      <c r="C1732">
        <v>11</v>
      </c>
      <c r="D1732" s="1" t="s">
        <v>379</v>
      </c>
      <c r="E1732">
        <v>10</v>
      </c>
    </row>
    <row r="1733" spans="1:5" x14ac:dyDescent="0.2">
      <c r="A1733">
        <v>10014354</v>
      </c>
      <c r="B1733">
        <v>29780751</v>
      </c>
      <c r="C1733">
        <v>13</v>
      </c>
      <c r="D1733" s="1" t="s">
        <v>560</v>
      </c>
      <c r="E1733">
        <v>10</v>
      </c>
    </row>
    <row r="1734" spans="1:5" x14ac:dyDescent="0.2">
      <c r="A1734">
        <v>10014354</v>
      </c>
      <c r="B1734">
        <v>29780751</v>
      </c>
      <c r="C1734">
        <v>20</v>
      </c>
      <c r="D1734" s="1" t="s">
        <v>425</v>
      </c>
      <c r="E1734">
        <v>10</v>
      </c>
    </row>
    <row r="1735" spans="1:5" x14ac:dyDescent="0.2">
      <c r="A1735">
        <v>10014354</v>
      </c>
      <c r="B1735">
        <v>29780751</v>
      </c>
      <c r="C1735">
        <v>2</v>
      </c>
      <c r="D1735" s="1" t="s">
        <v>1074</v>
      </c>
      <c r="E1735">
        <v>10</v>
      </c>
    </row>
    <row r="1736" spans="1:5" x14ac:dyDescent="0.2">
      <c r="A1736">
        <v>10014354</v>
      </c>
      <c r="B1736">
        <v>29780751</v>
      </c>
      <c r="C1736">
        <v>7</v>
      </c>
      <c r="D1736" s="1" t="s">
        <v>329</v>
      </c>
      <c r="E1736">
        <v>10</v>
      </c>
    </row>
    <row r="1737" spans="1:5" x14ac:dyDescent="0.2">
      <c r="A1737">
        <v>10014354</v>
      </c>
      <c r="B1737">
        <v>29780751</v>
      </c>
      <c r="C1737">
        <v>1</v>
      </c>
      <c r="D1737" s="1" t="s">
        <v>1075</v>
      </c>
      <c r="E1737">
        <v>10</v>
      </c>
    </row>
    <row r="1738" spans="1:5" x14ac:dyDescent="0.2">
      <c r="A1738">
        <v>10014354</v>
      </c>
      <c r="B1738">
        <v>29780751</v>
      </c>
      <c r="C1738">
        <v>8</v>
      </c>
      <c r="D1738" s="1" t="s">
        <v>335</v>
      </c>
      <c r="E1738">
        <v>10</v>
      </c>
    </row>
    <row r="1739" spans="1:5" x14ac:dyDescent="0.2">
      <c r="A1739">
        <v>10014354</v>
      </c>
      <c r="B1739">
        <v>29780751</v>
      </c>
      <c r="C1739">
        <v>3</v>
      </c>
      <c r="D1739" s="1" t="s">
        <v>1076</v>
      </c>
      <c r="E1739">
        <v>10</v>
      </c>
    </row>
    <row r="1740" spans="1:5" x14ac:dyDescent="0.2">
      <c r="A1740">
        <v>10014354</v>
      </c>
      <c r="B1740">
        <v>29780751</v>
      </c>
      <c r="C1740">
        <v>16</v>
      </c>
      <c r="D1740" s="1" t="s">
        <v>478</v>
      </c>
      <c r="E1740">
        <v>10</v>
      </c>
    </row>
    <row r="1741" spans="1:5" x14ac:dyDescent="0.2">
      <c r="A1741">
        <v>10014354</v>
      </c>
      <c r="B1741">
        <v>29780751</v>
      </c>
      <c r="C1741">
        <v>12</v>
      </c>
      <c r="D1741" s="1" t="s">
        <v>1077</v>
      </c>
      <c r="E1741">
        <v>10</v>
      </c>
    </row>
    <row r="1742" spans="1:5" x14ac:dyDescent="0.2">
      <c r="A1742">
        <v>10014354</v>
      </c>
      <c r="B1742">
        <v>29780751</v>
      </c>
      <c r="C1742">
        <v>22</v>
      </c>
      <c r="D1742" s="1" t="s">
        <v>378</v>
      </c>
      <c r="E1742">
        <v>10</v>
      </c>
    </row>
    <row r="1743" spans="1:5" x14ac:dyDescent="0.2">
      <c r="A1743">
        <v>10014354</v>
      </c>
      <c r="B1743">
        <v>29780751</v>
      </c>
      <c r="C1743">
        <v>5</v>
      </c>
      <c r="D1743" s="1" t="s">
        <v>429</v>
      </c>
      <c r="E1743">
        <v>10</v>
      </c>
    </row>
    <row r="1744" spans="1:5" x14ac:dyDescent="0.2">
      <c r="A1744">
        <v>10014354</v>
      </c>
      <c r="B1744">
        <v>29780751</v>
      </c>
      <c r="C1744">
        <v>18</v>
      </c>
      <c r="D1744" s="1" t="s">
        <v>620</v>
      </c>
      <c r="E1744">
        <v>10</v>
      </c>
    </row>
    <row r="1745" spans="1:5" x14ac:dyDescent="0.2">
      <c r="A1745">
        <v>10014354</v>
      </c>
      <c r="B1745">
        <v>27562275</v>
      </c>
      <c r="C1745">
        <v>8</v>
      </c>
      <c r="D1745" s="1" t="s">
        <v>446</v>
      </c>
      <c r="E1745">
        <v>10</v>
      </c>
    </row>
    <row r="1746" spans="1:5" x14ac:dyDescent="0.2">
      <c r="A1746">
        <v>10014354</v>
      </c>
      <c r="B1746">
        <v>27562275</v>
      </c>
      <c r="C1746">
        <v>16</v>
      </c>
      <c r="D1746" s="1" t="s">
        <v>788</v>
      </c>
      <c r="E1746">
        <v>10</v>
      </c>
    </row>
    <row r="1747" spans="1:5" x14ac:dyDescent="0.2">
      <c r="A1747">
        <v>10014354</v>
      </c>
      <c r="B1747">
        <v>27562275</v>
      </c>
      <c r="C1747">
        <v>9</v>
      </c>
      <c r="D1747" s="1" t="s">
        <v>329</v>
      </c>
      <c r="E1747">
        <v>10</v>
      </c>
    </row>
    <row r="1748" spans="1:5" x14ac:dyDescent="0.2">
      <c r="A1748">
        <v>10014354</v>
      </c>
      <c r="B1748">
        <v>27562275</v>
      </c>
      <c r="C1748">
        <v>11</v>
      </c>
      <c r="D1748" s="1" t="s">
        <v>328</v>
      </c>
      <c r="E1748">
        <v>10</v>
      </c>
    </row>
    <row r="1749" spans="1:5" x14ac:dyDescent="0.2">
      <c r="A1749">
        <v>10014354</v>
      </c>
      <c r="B1749">
        <v>27562275</v>
      </c>
      <c r="C1749">
        <v>15</v>
      </c>
      <c r="D1749" s="1" t="s">
        <v>1024</v>
      </c>
      <c r="E1749">
        <v>10</v>
      </c>
    </row>
    <row r="1750" spans="1:5" x14ac:dyDescent="0.2">
      <c r="A1750">
        <v>10014354</v>
      </c>
      <c r="B1750">
        <v>27562275</v>
      </c>
      <c r="C1750">
        <v>4</v>
      </c>
      <c r="D1750" s="1" t="s">
        <v>1078</v>
      </c>
      <c r="E1750">
        <v>10</v>
      </c>
    </row>
    <row r="1751" spans="1:5" x14ac:dyDescent="0.2">
      <c r="A1751">
        <v>10014354</v>
      </c>
      <c r="B1751">
        <v>27562275</v>
      </c>
      <c r="C1751">
        <v>17</v>
      </c>
      <c r="D1751" s="1" t="s">
        <v>761</v>
      </c>
      <c r="E1751">
        <v>10</v>
      </c>
    </row>
    <row r="1752" spans="1:5" x14ac:dyDescent="0.2">
      <c r="A1752">
        <v>10014354</v>
      </c>
      <c r="B1752">
        <v>27562275</v>
      </c>
      <c r="C1752">
        <v>6</v>
      </c>
      <c r="D1752" s="1" t="s">
        <v>335</v>
      </c>
      <c r="E1752">
        <v>10</v>
      </c>
    </row>
    <row r="1753" spans="1:5" x14ac:dyDescent="0.2">
      <c r="A1753">
        <v>10014354</v>
      </c>
      <c r="B1753">
        <v>27562275</v>
      </c>
      <c r="C1753">
        <v>18</v>
      </c>
      <c r="D1753" s="1" t="s">
        <v>378</v>
      </c>
      <c r="E1753">
        <v>10</v>
      </c>
    </row>
    <row r="1754" spans="1:5" x14ac:dyDescent="0.2">
      <c r="A1754">
        <v>10014354</v>
      </c>
      <c r="B1754">
        <v>27562275</v>
      </c>
      <c r="C1754">
        <v>7</v>
      </c>
      <c r="D1754" s="1" t="s">
        <v>477</v>
      </c>
      <c r="E1754">
        <v>10</v>
      </c>
    </row>
    <row r="1755" spans="1:5" x14ac:dyDescent="0.2">
      <c r="A1755">
        <v>10014354</v>
      </c>
      <c r="B1755">
        <v>27562275</v>
      </c>
      <c r="C1755">
        <v>13</v>
      </c>
      <c r="D1755" s="1" t="s">
        <v>1079</v>
      </c>
      <c r="E1755">
        <v>10</v>
      </c>
    </row>
    <row r="1756" spans="1:5" x14ac:dyDescent="0.2">
      <c r="A1756">
        <v>10014354</v>
      </c>
      <c r="B1756">
        <v>27562275</v>
      </c>
      <c r="C1756">
        <v>19</v>
      </c>
      <c r="D1756" s="1" t="s">
        <v>1080</v>
      </c>
      <c r="E1756">
        <v>10</v>
      </c>
    </row>
    <row r="1757" spans="1:5" x14ac:dyDescent="0.2">
      <c r="A1757">
        <v>10014354</v>
      </c>
      <c r="B1757">
        <v>27562275</v>
      </c>
      <c r="C1757">
        <v>12</v>
      </c>
      <c r="D1757" s="1" t="s">
        <v>620</v>
      </c>
      <c r="E1757">
        <v>10</v>
      </c>
    </row>
    <row r="1758" spans="1:5" x14ac:dyDescent="0.2">
      <c r="A1758">
        <v>10014354</v>
      </c>
      <c r="B1758">
        <v>27562275</v>
      </c>
      <c r="C1758">
        <v>14</v>
      </c>
      <c r="D1758" s="1" t="s">
        <v>1081</v>
      </c>
      <c r="E1758">
        <v>10</v>
      </c>
    </row>
    <row r="1759" spans="1:5" x14ac:dyDescent="0.2">
      <c r="A1759">
        <v>10014354</v>
      </c>
      <c r="B1759">
        <v>27562275</v>
      </c>
      <c r="C1759">
        <v>3</v>
      </c>
      <c r="D1759" s="1" t="s">
        <v>1074</v>
      </c>
      <c r="E1759">
        <v>10</v>
      </c>
    </row>
    <row r="1760" spans="1:5" x14ac:dyDescent="0.2">
      <c r="A1760">
        <v>10014354</v>
      </c>
      <c r="B1760">
        <v>27562275</v>
      </c>
      <c r="C1760">
        <v>1</v>
      </c>
      <c r="D1760" s="1" t="s">
        <v>1082</v>
      </c>
      <c r="E1760">
        <v>10</v>
      </c>
    </row>
    <row r="1761" spans="1:5" x14ac:dyDescent="0.2">
      <c r="A1761">
        <v>10014354</v>
      </c>
      <c r="B1761">
        <v>27562275</v>
      </c>
      <c r="C1761">
        <v>10</v>
      </c>
      <c r="D1761" s="1" t="s">
        <v>560</v>
      </c>
      <c r="E1761">
        <v>10</v>
      </c>
    </row>
    <row r="1762" spans="1:5" x14ac:dyDescent="0.2">
      <c r="A1762">
        <v>10014354</v>
      </c>
      <c r="B1762">
        <v>27562275</v>
      </c>
      <c r="C1762">
        <v>2</v>
      </c>
      <c r="D1762" s="1" t="s">
        <v>429</v>
      </c>
      <c r="E1762">
        <v>10</v>
      </c>
    </row>
    <row r="1763" spans="1:5" x14ac:dyDescent="0.2">
      <c r="A1763">
        <v>10014354</v>
      </c>
      <c r="B1763">
        <v>27562275</v>
      </c>
      <c r="C1763">
        <v>5</v>
      </c>
      <c r="D1763" s="1" t="s">
        <v>1083</v>
      </c>
      <c r="E1763">
        <v>10</v>
      </c>
    </row>
    <row r="1764" spans="1:5" x14ac:dyDescent="0.2">
      <c r="A1764">
        <v>10014354</v>
      </c>
      <c r="B1764">
        <v>29600294</v>
      </c>
      <c r="C1764">
        <v>9</v>
      </c>
      <c r="D1764" s="1" t="s">
        <v>612</v>
      </c>
      <c r="E1764">
        <v>10</v>
      </c>
    </row>
    <row r="1765" spans="1:5" x14ac:dyDescent="0.2">
      <c r="A1765">
        <v>10014354</v>
      </c>
      <c r="B1765">
        <v>29600294</v>
      </c>
      <c r="C1765">
        <v>8</v>
      </c>
      <c r="D1765" s="1" t="s">
        <v>1083</v>
      </c>
      <c r="E1765">
        <v>10</v>
      </c>
    </row>
    <row r="1766" spans="1:5" x14ac:dyDescent="0.2">
      <c r="A1766">
        <v>10014354</v>
      </c>
      <c r="B1766">
        <v>29600294</v>
      </c>
      <c r="C1766">
        <v>26</v>
      </c>
      <c r="D1766" s="1" t="s">
        <v>1084</v>
      </c>
      <c r="E1766">
        <v>10</v>
      </c>
    </row>
    <row r="1767" spans="1:5" x14ac:dyDescent="0.2">
      <c r="A1767">
        <v>10014354</v>
      </c>
      <c r="B1767">
        <v>29600294</v>
      </c>
      <c r="C1767">
        <v>2</v>
      </c>
      <c r="D1767" s="1" t="s">
        <v>1074</v>
      </c>
      <c r="E1767">
        <v>10</v>
      </c>
    </row>
    <row r="1768" spans="1:5" x14ac:dyDescent="0.2">
      <c r="A1768">
        <v>10014354</v>
      </c>
      <c r="B1768">
        <v>29600294</v>
      </c>
      <c r="C1768">
        <v>19</v>
      </c>
      <c r="D1768" s="1" t="s">
        <v>329</v>
      </c>
      <c r="E1768">
        <v>10</v>
      </c>
    </row>
    <row r="1769" spans="1:5" x14ac:dyDescent="0.2">
      <c r="A1769">
        <v>10014354</v>
      </c>
      <c r="B1769">
        <v>29600294</v>
      </c>
      <c r="C1769">
        <v>21</v>
      </c>
      <c r="D1769" s="1" t="s">
        <v>446</v>
      </c>
      <c r="E1769">
        <v>10</v>
      </c>
    </row>
    <row r="1770" spans="1:5" x14ac:dyDescent="0.2">
      <c r="A1770">
        <v>10014354</v>
      </c>
      <c r="B1770">
        <v>29600294</v>
      </c>
      <c r="C1770">
        <v>12</v>
      </c>
      <c r="D1770" s="1" t="s">
        <v>1085</v>
      </c>
      <c r="E1770">
        <v>10</v>
      </c>
    </row>
    <row r="1771" spans="1:5" x14ac:dyDescent="0.2">
      <c r="A1771">
        <v>10014354</v>
      </c>
      <c r="B1771">
        <v>29600294</v>
      </c>
      <c r="C1771">
        <v>13</v>
      </c>
      <c r="D1771" s="1" t="s">
        <v>328</v>
      </c>
      <c r="E1771">
        <v>10</v>
      </c>
    </row>
    <row r="1772" spans="1:5" x14ac:dyDescent="0.2">
      <c r="A1772">
        <v>10014354</v>
      </c>
      <c r="B1772">
        <v>29600294</v>
      </c>
      <c r="C1772">
        <v>23</v>
      </c>
      <c r="D1772" s="1" t="s">
        <v>620</v>
      </c>
      <c r="E1772">
        <v>10</v>
      </c>
    </row>
    <row r="1773" spans="1:5" x14ac:dyDescent="0.2">
      <c r="A1773">
        <v>10014354</v>
      </c>
      <c r="B1773">
        <v>29600294</v>
      </c>
      <c r="C1773">
        <v>10</v>
      </c>
      <c r="D1773" s="1" t="s">
        <v>324</v>
      </c>
      <c r="E1773">
        <v>10</v>
      </c>
    </row>
    <row r="1774" spans="1:5" x14ac:dyDescent="0.2">
      <c r="A1774">
        <v>10014354</v>
      </c>
      <c r="B1774">
        <v>29600294</v>
      </c>
      <c r="C1774">
        <v>22</v>
      </c>
      <c r="D1774" s="1" t="s">
        <v>889</v>
      </c>
      <c r="E1774">
        <v>10</v>
      </c>
    </row>
    <row r="1775" spans="1:5" x14ac:dyDescent="0.2">
      <c r="A1775">
        <v>10014354</v>
      </c>
      <c r="B1775">
        <v>29600294</v>
      </c>
      <c r="C1775">
        <v>20</v>
      </c>
      <c r="D1775" s="1" t="s">
        <v>1079</v>
      </c>
      <c r="E1775">
        <v>10</v>
      </c>
    </row>
    <row r="1776" spans="1:5" x14ac:dyDescent="0.2">
      <c r="A1776">
        <v>10014354</v>
      </c>
      <c r="B1776">
        <v>29600294</v>
      </c>
      <c r="C1776">
        <v>7</v>
      </c>
      <c r="D1776" s="1" t="s">
        <v>1078</v>
      </c>
      <c r="E1776">
        <v>10</v>
      </c>
    </row>
    <row r="1777" spans="1:5" x14ac:dyDescent="0.2">
      <c r="A1777">
        <v>10014354</v>
      </c>
      <c r="B1777">
        <v>29600294</v>
      </c>
      <c r="C1777">
        <v>17</v>
      </c>
      <c r="D1777" s="1" t="s">
        <v>477</v>
      </c>
      <c r="E1777">
        <v>10</v>
      </c>
    </row>
    <row r="1778" spans="1:5" x14ac:dyDescent="0.2">
      <c r="A1778">
        <v>10014354</v>
      </c>
      <c r="B1778">
        <v>29600294</v>
      </c>
      <c r="C1778">
        <v>16</v>
      </c>
      <c r="D1778" s="1" t="s">
        <v>335</v>
      </c>
      <c r="E1778">
        <v>10</v>
      </c>
    </row>
    <row r="1779" spans="1:5" x14ac:dyDescent="0.2">
      <c r="A1779">
        <v>10014354</v>
      </c>
      <c r="B1779">
        <v>29600294</v>
      </c>
      <c r="C1779">
        <v>25</v>
      </c>
      <c r="D1779" s="1" t="s">
        <v>378</v>
      </c>
      <c r="E1779">
        <v>10</v>
      </c>
    </row>
    <row r="1780" spans="1:5" x14ac:dyDescent="0.2">
      <c r="A1780">
        <v>10014354</v>
      </c>
      <c r="B1780">
        <v>29600294</v>
      </c>
      <c r="C1780">
        <v>1</v>
      </c>
      <c r="D1780" s="1" t="s">
        <v>1086</v>
      </c>
      <c r="E1780">
        <v>10</v>
      </c>
    </row>
    <row r="1781" spans="1:5" x14ac:dyDescent="0.2">
      <c r="A1781">
        <v>10014354</v>
      </c>
      <c r="B1781">
        <v>29600294</v>
      </c>
      <c r="C1781">
        <v>4</v>
      </c>
      <c r="D1781" s="1" t="s">
        <v>1087</v>
      </c>
      <c r="E1781">
        <v>10</v>
      </c>
    </row>
    <row r="1782" spans="1:5" x14ac:dyDescent="0.2">
      <c r="A1782">
        <v>10014354</v>
      </c>
      <c r="B1782">
        <v>29600294</v>
      </c>
      <c r="C1782">
        <v>3</v>
      </c>
      <c r="D1782" s="1" t="s">
        <v>423</v>
      </c>
      <c r="E1782">
        <v>10</v>
      </c>
    </row>
    <row r="1783" spans="1:5" x14ac:dyDescent="0.2">
      <c r="A1783">
        <v>10014354</v>
      </c>
      <c r="B1783">
        <v>29600294</v>
      </c>
      <c r="C1783">
        <v>18</v>
      </c>
      <c r="D1783" s="1" t="s">
        <v>1088</v>
      </c>
      <c r="E1783">
        <v>10</v>
      </c>
    </row>
    <row r="1784" spans="1:5" x14ac:dyDescent="0.2">
      <c r="A1784">
        <v>10014354</v>
      </c>
      <c r="B1784">
        <v>29600294</v>
      </c>
      <c r="C1784">
        <v>24</v>
      </c>
      <c r="D1784" s="1" t="s">
        <v>904</v>
      </c>
      <c r="E1784">
        <v>10</v>
      </c>
    </row>
    <row r="1785" spans="1:5" x14ac:dyDescent="0.2">
      <c r="A1785">
        <v>10014354</v>
      </c>
      <c r="B1785">
        <v>29600294</v>
      </c>
      <c r="C1785">
        <v>11</v>
      </c>
      <c r="D1785" s="1" t="s">
        <v>1089</v>
      </c>
      <c r="E1785">
        <v>10</v>
      </c>
    </row>
    <row r="1786" spans="1:5" x14ac:dyDescent="0.2">
      <c r="A1786">
        <v>10014354</v>
      </c>
      <c r="B1786">
        <v>29600294</v>
      </c>
      <c r="C1786">
        <v>5</v>
      </c>
      <c r="D1786" s="1" t="s">
        <v>761</v>
      </c>
      <c r="E1786">
        <v>10</v>
      </c>
    </row>
    <row r="1787" spans="1:5" x14ac:dyDescent="0.2">
      <c r="A1787">
        <v>10014354</v>
      </c>
      <c r="B1787">
        <v>29600294</v>
      </c>
      <c r="C1787">
        <v>6</v>
      </c>
      <c r="D1787" s="1" t="s">
        <v>1081</v>
      </c>
      <c r="E1787">
        <v>10</v>
      </c>
    </row>
    <row r="1788" spans="1:5" x14ac:dyDescent="0.2">
      <c r="A1788">
        <v>10014354</v>
      </c>
      <c r="B1788">
        <v>29600294</v>
      </c>
      <c r="C1788">
        <v>15</v>
      </c>
      <c r="D1788" s="1" t="s">
        <v>560</v>
      </c>
      <c r="E1788">
        <v>10</v>
      </c>
    </row>
    <row r="1789" spans="1:5" x14ac:dyDescent="0.2">
      <c r="A1789">
        <v>10014354</v>
      </c>
      <c r="B1789">
        <v>29600294</v>
      </c>
      <c r="C1789">
        <v>14</v>
      </c>
      <c r="D1789" s="1" t="s">
        <v>1090</v>
      </c>
      <c r="E1789">
        <v>10</v>
      </c>
    </row>
    <row r="1790" spans="1:5" x14ac:dyDescent="0.2">
      <c r="A1790">
        <v>10014354</v>
      </c>
      <c r="B1790">
        <v>26013492</v>
      </c>
      <c r="C1790">
        <v>1</v>
      </c>
      <c r="D1790" s="1" t="s">
        <v>423</v>
      </c>
      <c r="E1790">
        <v>10</v>
      </c>
    </row>
    <row r="1791" spans="1:5" x14ac:dyDescent="0.2">
      <c r="A1791">
        <v>10014354</v>
      </c>
      <c r="B1791">
        <v>26013492</v>
      </c>
      <c r="C1791">
        <v>3</v>
      </c>
      <c r="D1791" s="1" t="s">
        <v>1006</v>
      </c>
      <c r="E1791">
        <v>10</v>
      </c>
    </row>
    <row r="1792" spans="1:5" x14ac:dyDescent="0.2">
      <c r="A1792">
        <v>10014354</v>
      </c>
      <c r="B1792">
        <v>26013492</v>
      </c>
      <c r="C1792">
        <v>5</v>
      </c>
      <c r="D1792" s="1" t="s">
        <v>1085</v>
      </c>
      <c r="E1792">
        <v>10</v>
      </c>
    </row>
    <row r="1793" spans="1:5" x14ac:dyDescent="0.2">
      <c r="A1793">
        <v>10014354</v>
      </c>
      <c r="B1793">
        <v>26013492</v>
      </c>
      <c r="C1793">
        <v>4</v>
      </c>
      <c r="D1793" s="1" t="s">
        <v>1091</v>
      </c>
      <c r="E1793">
        <v>10</v>
      </c>
    </row>
    <row r="1794" spans="1:5" x14ac:dyDescent="0.2">
      <c r="A1794">
        <v>10014354</v>
      </c>
      <c r="B1794">
        <v>26013492</v>
      </c>
      <c r="C1794">
        <v>8</v>
      </c>
      <c r="D1794" s="1" t="s">
        <v>761</v>
      </c>
      <c r="E1794">
        <v>10</v>
      </c>
    </row>
    <row r="1795" spans="1:5" x14ac:dyDescent="0.2">
      <c r="A1795">
        <v>10014354</v>
      </c>
      <c r="B1795">
        <v>26013492</v>
      </c>
      <c r="C1795">
        <v>9</v>
      </c>
      <c r="D1795" s="1" t="s">
        <v>335</v>
      </c>
      <c r="E1795">
        <v>10</v>
      </c>
    </row>
    <row r="1796" spans="1:5" x14ac:dyDescent="0.2">
      <c r="A1796">
        <v>10014354</v>
      </c>
      <c r="B1796">
        <v>26013492</v>
      </c>
      <c r="C1796">
        <v>18</v>
      </c>
      <c r="D1796" s="1" t="s">
        <v>1092</v>
      </c>
      <c r="E1796">
        <v>10</v>
      </c>
    </row>
    <row r="1797" spans="1:5" x14ac:dyDescent="0.2">
      <c r="A1797">
        <v>10014354</v>
      </c>
      <c r="B1797">
        <v>26013492</v>
      </c>
      <c r="C1797">
        <v>15</v>
      </c>
      <c r="D1797" s="1" t="s">
        <v>560</v>
      </c>
      <c r="E1797">
        <v>10</v>
      </c>
    </row>
    <row r="1798" spans="1:5" x14ac:dyDescent="0.2">
      <c r="A1798">
        <v>10014354</v>
      </c>
      <c r="B1798">
        <v>26013492</v>
      </c>
      <c r="C1798">
        <v>23</v>
      </c>
      <c r="D1798" s="1" t="s">
        <v>1093</v>
      </c>
      <c r="E1798">
        <v>10</v>
      </c>
    </row>
    <row r="1799" spans="1:5" x14ac:dyDescent="0.2">
      <c r="A1799">
        <v>10014354</v>
      </c>
      <c r="B1799">
        <v>26013492</v>
      </c>
      <c r="C1799">
        <v>21</v>
      </c>
      <c r="D1799" s="1" t="s">
        <v>1094</v>
      </c>
      <c r="E1799">
        <v>10</v>
      </c>
    </row>
    <row r="1800" spans="1:5" x14ac:dyDescent="0.2">
      <c r="A1800">
        <v>10014354</v>
      </c>
      <c r="B1800">
        <v>26013492</v>
      </c>
      <c r="C1800">
        <v>6</v>
      </c>
      <c r="D1800" s="1" t="s">
        <v>1078</v>
      </c>
      <c r="E1800">
        <v>10</v>
      </c>
    </row>
    <row r="1801" spans="1:5" x14ac:dyDescent="0.2">
      <c r="A1801">
        <v>10014354</v>
      </c>
      <c r="B1801">
        <v>26013492</v>
      </c>
      <c r="C1801">
        <v>11</v>
      </c>
      <c r="D1801" s="1" t="s">
        <v>380</v>
      </c>
      <c r="E1801">
        <v>10</v>
      </c>
    </row>
    <row r="1802" spans="1:5" x14ac:dyDescent="0.2">
      <c r="A1802">
        <v>10014354</v>
      </c>
      <c r="B1802">
        <v>26013492</v>
      </c>
      <c r="C1802">
        <v>10</v>
      </c>
      <c r="D1802" s="1" t="s">
        <v>477</v>
      </c>
      <c r="E1802">
        <v>10</v>
      </c>
    </row>
    <row r="1803" spans="1:5" x14ac:dyDescent="0.2">
      <c r="A1803">
        <v>10014354</v>
      </c>
      <c r="B1803">
        <v>26013492</v>
      </c>
      <c r="C1803">
        <v>19</v>
      </c>
      <c r="D1803" s="1" t="s">
        <v>1076</v>
      </c>
      <c r="E1803">
        <v>10</v>
      </c>
    </row>
    <row r="1804" spans="1:5" x14ac:dyDescent="0.2">
      <c r="A1804">
        <v>10014354</v>
      </c>
      <c r="B1804">
        <v>26013492</v>
      </c>
      <c r="C1804">
        <v>24</v>
      </c>
      <c r="D1804" s="1" t="s">
        <v>1095</v>
      </c>
      <c r="E1804">
        <v>10</v>
      </c>
    </row>
    <row r="1805" spans="1:5" x14ac:dyDescent="0.2">
      <c r="A1805">
        <v>10014354</v>
      </c>
      <c r="B1805">
        <v>26013492</v>
      </c>
      <c r="C1805">
        <v>16</v>
      </c>
      <c r="D1805" s="1" t="s">
        <v>1070</v>
      </c>
      <c r="E1805">
        <v>10</v>
      </c>
    </row>
    <row r="1806" spans="1:5" x14ac:dyDescent="0.2">
      <c r="A1806">
        <v>10014354</v>
      </c>
      <c r="B1806">
        <v>26013492</v>
      </c>
      <c r="C1806">
        <v>20</v>
      </c>
      <c r="D1806" s="1" t="s">
        <v>889</v>
      </c>
      <c r="E1806">
        <v>10</v>
      </c>
    </row>
    <row r="1807" spans="1:5" x14ac:dyDescent="0.2">
      <c r="A1807">
        <v>10014354</v>
      </c>
      <c r="B1807">
        <v>26013492</v>
      </c>
      <c r="C1807">
        <v>2</v>
      </c>
      <c r="D1807" s="1" t="s">
        <v>1074</v>
      </c>
      <c r="E1807">
        <v>10</v>
      </c>
    </row>
    <row r="1808" spans="1:5" x14ac:dyDescent="0.2">
      <c r="A1808">
        <v>10014354</v>
      </c>
      <c r="B1808">
        <v>26013492</v>
      </c>
      <c r="C1808">
        <v>17</v>
      </c>
      <c r="D1808" s="1" t="s">
        <v>478</v>
      </c>
      <c r="E1808">
        <v>10</v>
      </c>
    </row>
    <row r="1809" spans="1:5" x14ac:dyDescent="0.2">
      <c r="A1809">
        <v>10014354</v>
      </c>
      <c r="B1809">
        <v>26013492</v>
      </c>
      <c r="C1809">
        <v>22</v>
      </c>
      <c r="D1809" s="1" t="s">
        <v>878</v>
      </c>
      <c r="E1809">
        <v>10</v>
      </c>
    </row>
    <row r="1810" spans="1:5" x14ac:dyDescent="0.2">
      <c r="A1810">
        <v>10014354</v>
      </c>
      <c r="B1810">
        <v>26013492</v>
      </c>
      <c r="C1810">
        <v>25</v>
      </c>
      <c r="D1810" s="1" t="s">
        <v>1073</v>
      </c>
      <c r="E1810">
        <v>10</v>
      </c>
    </row>
    <row r="1811" spans="1:5" x14ac:dyDescent="0.2">
      <c r="A1811">
        <v>10014354</v>
      </c>
      <c r="B1811">
        <v>26013492</v>
      </c>
      <c r="C1811">
        <v>7</v>
      </c>
      <c r="D1811" s="1" t="s">
        <v>1083</v>
      </c>
      <c r="E1811">
        <v>10</v>
      </c>
    </row>
    <row r="1812" spans="1:5" x14ac:dyDescent="0.2">
      <c r="A1812">
        <v>10014354</v>
      </c>
      <c r="B1812">
        <v>26013492</v>
      </c>
      <c r="C1812">
        <v>12</v>
      </c>
      <c r="D1812" s="1" t="s">
        <v>1066</v>
      </c>
      <c r="E1812">
        <v>10</v>
      </c>
    </row>
    <row r="1813" spans="1:5" x14ac:dyDescent="0.2">
      <c r="A1813">
        <v>10014354</v>
      </c>
      <c r="B1813">
        <v>26013492</v>
      </c>
      <c r="C1813">
        <v>14</v>
      </c>
      <c r="D1813" s="1" t="s">
        <v>1077</v>
      </c>
      <c r="E1813">
        <v>10</v>
      </c>
    </row>
    <row r="1814" spans="1:5" x14ac:dyDescent="0.2">
      <c r="A1814">
        <v>10014354</v>
      </c>
      <c r="B1814">
        <v>26013492</v>
      </c>
      <c r="C1814">
        <v>13</v>
      </c>
      <c r="D1814" s="1" t="s">
        <v>329</v>
      </c>
      <c r="E1814">
        <v>10</v>
      </c>
    </row>
    <row r="1815" spans="1:5" x14ac:dyDescent="0.2">
      <c r="A1815">
        <v>10014354</v>
      </c>
      <c r="B1815">
        <v>26013492</v>
      </c>
      <c r="C1815">
        <v>26</v>
      </c>
      <c r="D1815" s="1" t="s">
        <v>620</v>
      </c>
      <c r="E1815">
        <v>10</v>
      </c>
    </row>
    <row r="1816" spans="1:5" x14ac:dyDescent="0.2">
      <c r="A1816">
        <v>10014354</v>
      </c>
      <c r="B1816">
        <v>26722126</v>
      </c>
      <c r="C1816">
        <v>6</v>
      </c>
      <c r="D1816" s="1" t="s">
        <v>328</v>
      </c>
      <c r="E1816">
        <v>10</v>
      </c>
    </row>
    <row r="1817" spans="1:5" x14ac:dyDescent="0.2">
      <c r="A1817">
        <v>10014354</v>
      </c>
      <c r="B1817">
        <v>26722126</v>
      </c>
      <c r="C1817">
        <v>8</v>
      </c>
      <c r="D1817" s="1" t="s">
        <v>1072</v>
      </c>
      <c r="E1817">
        <v>10</v>
      </c>
    </row>
    <row r="1818" spans="1:5" x14ac:dyDescent="0.2">
      <c r="A1818">
        <v>10014354</v>
      </c>
      <c r="B1818">
        <v>26722126</v>
      </c>
      <c r="C1818">
        <v>5</v>
      </c>
      <c r="D1818" s="1" t="s">
        <v>329</v>
      </c>
      <c r="E1818">
        <v>10</v>
      </c>
    </row>
    <row r="1819" spans="1:5" x14ac:dyDescent="0.2">
      <c r="A1819">
        <v>10014354</v>
      </c>
      <c r="B1819">
        <v>26722126</v>
      </c>
      <c r="C1819">
        <v>1</v>
      </c>
      <c r="D1819" s="1" t="s">
        <v>677</v>
      </c>
      <c r="E1819">
        <v>10</v>
      </c>
    </row>
    <row r="1820" spans="1:5" x14ac:dyDescent="0.2">
      <c r="A1820">
        <v>10014354</v>
      </c>
      <c r="B1820">
        <v>26722126</v>
      </c>
      <c r="C1820">
        <v>10</v>
      </c>
      <c r="D1820" s="1" t="s">
        <v>1096</v>
      </c>
      <c r="E1820">
        <v>10</v>
      </c>
    </row>
    <row r="1821" spans="1:5" x14ac:dyDescent="0.2">
      <c r="A1821">
        <v>10014354</v>
      </c>
      <c r="B1821">
        <v>26722126</v>
      </c>
      <c r="C1821">
        <v>3</v>
      </c>
      <c r="D1821" s="1" t="s">
        <v>443</v>
      </c>
      <c r="E1821">
        <v>10</v>
      </c>
    </row>
    <row r="1822" spans="1:5" x14ac:dyDescent="0.2">
      <c r="A1822">
        <v>10014354</v>
      </c>
      <c r="B1822">
        <v>26722126</v>
      </c>
      <c r="C1822">
        <v>7</v>
      </c>
      <c r="D1822" s="1" t="s">
        <v>435</v>
      </c>
      <c r="E1822">
        <v>10</v>
      </c>
    </row>
    <row r="1823" spans="1:5" x14ac:dyDescent="0.2">
      <c r="A1823">
        <v>10014354</v>
      </c>
      <c r="B1823">
        <v>26722126</v>
      </c>
      <c r="C1823">
        <v>2</v>
      </c>
      <c r="D1823" s="1" t="s">
        <v>1074</v>
      </c>
      <c r="E1823">
        <v>10</v>
      </c>
    </row>
    <row r="1824" spans="1:5" x14ac:dyDescent="0.2">
      <c r="A1824">
        <v>10014354</v>
      </c>
      <c r="B1824">
        <v>26722126</v>
      </c>
      <c r="C1824">
        <v>4</v>
      </c>
      <c r="D1824" s="1" t="s">
        <v>1097</v>
      </c>
      <c r="E1824">
        <v>10</v>
      </c>
    </row>
    <row r="1825" spans="1:5" x14ac:dyDescent="0.2">
      <c r="A1825">
        <v>10014354</v>
      </c>
      <c r="B1825">
        <v>26722126</v>
      </c>
      <c r="C1825">
        <v>9</v>
      </c>
      <c r="D1825" s="1" t="s">
        <v>1066</v>
      </c>
      <c r="E1825">
        <v>10</v>
      </c>
    </row>
    <row r="1826" spans="1:5" x14ac:dyDescent="0.2">
      <c r="A1826">
        <v>10014354</v>
      </c>
      <c r="B1826">
        <v>24096336</v>
      </c>
      <c r="C1826">
        <v>10</v>
      </c>
      <c r="D1826" s="1" t="s">
        <v>1072</v>
      </c>
      <c r="E1826">
        <v>10</v>
      </c>
    </row>
    <row r="1827" spans="1:5" x14ac:dyDescent="0.2">
      <c r="A1827">
        <v>10014354</v>
      </c>
      <c r="B1827">
        <v>24096336</v>
      </c>
      <c r="C1827">
        <v>6</v>
      </c>
      <c r="D1827" s="1" t="s">
        <v>379</v>
      </c>
      <c r="E1827">
        <v>10</v>
      </c>
    </row>
    <row r="1828" spans="1:5" x14ac:dyDescent="0.2">
      <c r="A1828">
        <v>10014354</v>
      </c>
      <c r="B1828">
        <v>24096336</v>
      </c>
      <c r="C1828">
        <v>3</v>
      </c>
      <c r="D1828" s="1" t="s">
        <v>788</v>
      </c>
      <c r="E1828">
        <v>10</v>
      </c>
    </row>
    <row r="1829" spans="1:5" x14ac:dyDescent="0.2">
      <c r="A1829">
        <v>10014354</v>
      </c>
      <c r="B1829">
        <v>24096336</v>
      </c>
      <c r="C1829">
        <v>8</v>
      </c>
      <c r="D1829" s="1" t="s">
        <v>560</v>
      </c>
      <c r="E1829">
        <v>10</v>
      </c>
    </row>
    <row r="1830" spans="1:5" x14ac:dyDescent="0.2">
      <c r="A1830">
        <v>10014354</v>
      </c>
      <c r="B1830">
        <v>24096336</v>
      </c>
      <c r="C1830">
        <v>13</v>
      </c>
      <c r="D1830" s="1" t="s">
        <v>1079</v>
      </c>
      <c r="E1830">
        <v>10</v>
      </c>
    </row>
    <row r="1831" spans="1:5" x14ac:dyDescent="0.2">
      <c r="A1831">
        <v>10014354</v>
      </c>
      <c r="B1831">
        <v>24096336</v>
      </c>
      <c r="C1831">
        <v>7</v>
      </c>
      <c r="D1831" s="1" t="s">
        <v>1098</v>
      </c>
      <c r="E1831">
        <v>10</v>
      </c>
    </row>
    <row r="1832" spans="1:5" x14ac:dyDescent="0.2">
      <c r="A1832">
        <v>10014354</v>
      </c>
      <c r="B1832">
        <v>24096336</v>
      </c>
      <c r="C1832">
        <v>11</v>
      </c>
      <c r="D1832" s="1" t="s">
        <v>380</v>
      </c>
      <c r="E1832">
        <v>10</v>
      </c>
    </row>
    <row r="1833" spans="1:5" x14ac:dyDescent="0.2">
      <c r="A1833">
        <v>10014354</v>
      </c>
      <c r="B1833">
        <v>24096336</v>
      </c>
      <c r="C1833">
        <v>9</v>
      </c>
      <c r="D1833" s="1" t="s">
        <v>1099</v>
      </c>
      <c r="E1833">
        <v>10</v>
      </c>
    </row>
    <row r="1834" spans="1:5" x14ac:dyDescent="0.2">
      <c r="A1834">
        <v>10014354</v>
      </c>
      <c r="B1834">
        <v>24096336</v>
      </c>
      <c r="C1834">
        <v>4</v>
      </c>
      <c r="D1834" s="1" t="s">
        <v>1100</v>
      </c>
      <c r="E1834">
        <v>10</v>
      </c>
    </row>
    <row r="1835" spans="1:5" x14ac:dyDescent="0.2">
      <c r="A1835">
        <v>10014354</v>
      </c>
      <c r="B1835">
        <v>24096336</v>
      </c>
      <c r="C1835">
        <v>1</v>
      </c>
      <c r="D1835" s="1" t="s">
        <v>1101</v>
      </c>
      <c r="E1835">
        <v>10</v>
      </c>
    </row>
    <row r="1836" spans="1:5" x14ac:dyDescent="0.2">
      <c r="A1836">
        <v>10014354</v>
      </c>
      <c r="B1836">
        <v>24096336</v>
      </c>
      <c r="C1836">
        <v>12</v>
      </c>
      <c r="D1836" s="1" t="s">
        <v>1102</v>
      </c>
      <c r="E1836">
        <v>10</v>
      </c>
    </row>
    <row r="1837" spans="1:5" x14ac:dyDescent="0.2">
      <c r="A1837">
        <v>10014354</v>
      </c>
      <c r="B1837">
        <v>24096336</v>
      </c>
      <c r="C1837">
        <v>5</v>
      </c>
      <c r="D1837" s="1" t="s">
        <v>620</v>
      </c>
      <c r="E1837">
        <v>10</v>
      </c>
    </row>
    <row r="1838" spans="1:5" x14ac:dyDescent="0.2">
      <c r="A1838">
        <v>10014354</v>
      </c>
      <c r="B1838">
        <v>24096336</v>
      </c>
      <c r="C1838">
        <v>2</v>
      </c>
      <c r="D1838" s="1" t="s">
        <v>1103</v>
      </c>
      <c r="E1838">
        <v>10</v>
      </c>
    </row>
    <row r="1839" spans="1:5" x14ac:dyDescent="0.2">
      <c r="A1839">
        <v>10014354</v>
      </c>
      <c r="B1839">
        <v>24096336</v>
      </c>
      <c r="C1839">
        <v>14</v>
      </c>
      <c r="D1839" s="1" t="s">
        <v>1095</v>
      </c>
      <c r="E1839">
        <v>10</v>
      </c>
    </row>
    <row r="1840" spans="1:5" x14ac:dyDescent="0.2">
      <c r="A1840">
        <v>10014354</v>
      </c>
      <c r="B1840">
        <v>24096336</v>
      </c>
      <c r="C1840">
        <v>15</v>
      </c>
      <c r="D1840" s="1" t="s">
        <v>761</v>
      </c>
      <c r="E1840">
        <v>10</v>
      </c>
    </row>
    <row r="1841" spans="1:5" x14ac:dyDescent="0.2">
      <c r="A1841">
        <v>10014354</v>
      </c>
      <c r="B1841">
        <v>20900955</v>
      </c>
      <c r="C1841">
        <v>13</v>
      </c>
      <c r="D1841" s="1" t="s">
        <v>380</v>
      </c>
      <c r="E1841">
        <v>10</v>
      </c>
    </row>
    <row r="1842" spans="1:5" x14ac:dyDescent="0.2">
      <c r="A1842">
        <v>10014354</v>
      </c>
      <c r="B1842">
        <v>20900955</v>
      </c>
      <c r="C1842">
        <v>6</v>
      </c>
      <c r="D1842" s="1" t="s">
        <v>1074</v>
      </c>
      <c r="E1842">
        <v>10</v>
      </c>
    </row>
    <row r="1843" spans="1:5" x14ac:dyDescent="0.2">
      <c r="A1843">
        <v>10014354</v>
      </c>
      <c r="B1843">
        <v>20900955</v>
      </c>
      <c r="C1843">
        <v>1</v>
      </c>
      <c r="D1843" s="1" t="s">
        <v>736</v>
      </c>
      <c r="E1843">
        <v>10</v>
      </c>
    </row>
    <row r="1844" spans="1:5" x14ac:dyDescent="0.2">
      <c r="A1844">
        <v>10014354</v>
      </c>
      <c r="B1844">
        <v>20900955</v>
      </c>
      <c r="C1844">
        <v>3</v>
      </c>
      <c r="D1844" s="1" t="s">
        <v>1104</v>
      </c>
      <c r="E1844">
        <v>10</v>
      </c>
    </row>
    <row r="1845" spans="1:5" x14ac:dyDescent="0.2">
      <c r="A1845">
        <v>10014354</v>
      </c>
      <c r="B1845">
        <v>20900955</v>
      </c>
      <c r="C1845">
        <v>5</v>
      </c>
      <c r="D1845" s="1" t="s">
        <v>328</v>
      </c>
      <c r="E1845">
        <v>10</v>
      </c>
    </row>
    <row r="1846" spans="1:5" x14ac:dyDescent="0.2">
      <c r="A1846">
        <v>10014354</v>
      </c>
      <c r="B1846">
        <v>20900955</v>
      </c>
      <c r="C1846">
        <v>14</v>
      </c>
      <c r="D1846" s="1" t="s">
        <v>620</v>
      </c>
      <c r="E1846">
        <v>10</v>
      </c>
    </row>
    <row r="1847" spans="1:5" x14ac:dyDescent="0.2">
      <c r="A1847">
        <v>10014354</v>
      </c>
      <c r="B1847">
        <v>20900955</v>
      </c>
      <c r="C1847">
        <v>4</v>
      </c>
      <c r="D1847" s="1" t="s">
        <v>885</v>
      </c>
      <c r="E1847">
        <v>10</v>
      </c>
    </row>
    <row r="1848" spans="1:5" x14ac:dyDescent="0.2">
      <c r="A1848">
        <v>10014354</v>
      </c>
      <c r="B1848">
        <v>20900955</v>
      </c>
      <c r="C1848">
        <v>2</v>
      </c>
      <c r="D1848" s="1" t="s">
        <v>1105</v>
      </c>
      <c r="E1848">
        <v>10</v>
      </c>
    </row>
    <row r="1849" spans="1:5" x14ac:dyDescent="0.2">
      <c r="A1849">
        <v>10014354</v>
      </c>
      <c r="B1849">
        <v>20900955</v>
      </c>
      <c r="C1849">
        <v>11</v>
      </c>
      <c r="D1849" s="1" t="s">
        <v>329</v>
      </c>
      <c r="E1849">
        <v>10</v>
      </c>
    </row>
    <row r="1850" spans="1:5" x14ac:dyDescent="0.2">
      <c r="A1850">
        <v>10014354</v>
      </c>
      <c r="B1850">
        <v>20900955</v>
      </c>
      <c r="C1850">
        <v>9</v>
      </c>
      <c r="D1850" s="1" t="s">
        <v>1066</v>
      </c>
      <c r="E1850">
        <v>10</v>
      </c>
    </row>
    <row r="1851" spans="1:5" x14ac:dyDescent="0.2">
      <c r="A1851">
        <v>10014354</v>
      </c>
      <c r="B1851">
        <v>20900955</v>
      </c>
      <c r="C1851">
        <v>8</v>
      </c>
      <c r="D1851" s="1" t="s">
        <v>756</v>
      </c>
      <c r="E1851">
        <v>10</v>
      </c>
    </row>
    <row r="1852" spans="1:5" x14ac:dyDescent="0.2">
      <c r="A1852">
        <v>10014354</v>
      </c>
      <c r="B1852">
        <v>20900955</v>
      </c>
      <c r="C1852">
        <v>7</v>
      </c>
      <c r="D1852" s="1" t="s">
        <v>1078</v>
      </c>
      <c r="E1852">
        <v>10</v>
      </c>
    </row>
    <row r="1853" spans="1:5" x14ac:dyDescent="0.2">
      <c r="A1853">
        <v>10014354</v>
      </c>
      <c r="B1853">
        <v>20900955</v>
      </c>
      <c r="C1853">
        <v>12</v>
      </c>
      <c r="D1853" s="1" t="s">
        <v>324</v>
      </c>
      <c r="E1853">
        <v>10</v>
      </c>
    </row>
    <row r="1854" spans="1:5" x14ac:dyDescent="0.2">
      <c r="A1854">
        <v>10014354</v>
      </c>
      <c r="B1854">
        <v>20900955</v>
      </c>
      <c r="C1854">
        <v>10</v>
      </c>
      <c r="D1854" s="1" t="s">
        <v>1072</v>
      </c>
      <c r="E1854">
        <v>10</v>
      </c>
    </row>
    <row r="1855" spans="1:5" x14ac:dyDescent="0.2">
      <c r="A1855">
        <v>10014354</v>
      </c>
      <c r="B1855">
        <v>22502504</v>
      </c>
      <c r="C1855">
        <v>3</v>
      </c>
      <c r="D1855" s="1" t="s">
        <v>1067</v>
      </c>
      <c r="E1855">
        <v>10</v>
      </c>
    </row>
    <row r="1856" spans="1:5" x14ac:dyDescent="0.2">
      <c r="A1856">
        <v>10014354</v>
      </c>
      <c r="B1856">
        <v>22502504</v>
      </c>
      <c r="C1856">
        <v>4</v>
      </c>
      <c r="D1856" s="1" t="s">
        <v>335</v>
      </c>
      <c r="E1856">
        <v>10</v>
      </c>
    </row>
    <row r="1857" spans="1:5" x14ac:dyDescent="0.2">
      <c r="A1857">
        <v>10014354</v>
      </c>
      <c r="B1857">
        <v>22502504</v>
      </c>
      <c r="C1857">
        <v>1</v>
      </c>
      <c r="D1857" s="1" t="s">
        <v>1106</v>
      </c>
      <c r="E1857">
        <v>10</v>
      </c>
    </row>
    <row r="1858" spans="1:5" x14ac:dyDescent="0.2">
      <c r="A1858">
        <v>10014354</v>
      </c>
      <c r="B1858">
        <v>22502504</v>
      </c>
      <c r="C1858">
        <v>12</v>
      </c>
      <c r="D1858" s="1" t="s">
        <v>380</v>
      </c>
      <c r="E1858">
        <v>10</v>
      </c>
    </row>
    <row r="1859" spans="1:5" x14ac:dyDescent="0.2">
      <c r="A1859">
        <v>10014354</v>
      </c>
      <c r="B1859">
        <v>22502504</v>
      </c>
      <c r="C1859">
        <v>14</v>
      </c>
      <c r="D1859" s="1" t="s">
        <v>1074</v>
      </c>
      <c r="E1859">
        <v>10</v>
      </c>
    </row>
    <row r="1860" spans="1:5" x14ac:dyDescent="0.2">
      <c r="A1860">
        <v>10014354</v>
      </c>
      <c r="B1860">
        <v>22502504</v>
      </c>
      <c r="C1860">
        <v>7</v>
      </c>
      <c r="D1860" s="1" t="s">
        <v>1072</v>
      </c>
      <c r="E1860">
        <v>10</v>
      </c>
    </row>
    <row r="1861" spans="1:5" x14ac:dyDescent="0.2">
      <c r="A1861">
        <v>10014354</v>
      </c>
      <c r="B1861">
        <v>22502504</v>
      </c>
      <c r="C1861">
        <v>8</v>
      </c>
      <c r="D1861" s="1" t="s">
        <v>328</v>
      </c>
      <c r="E1861">
        <v>10</v>
      </c>
    </row>
    <row r="1862" spans="1:5" x14ac:dyDescent="0.2">
      <c r="A1862">
        <v>10014354</v>
      </c>
      <c r="B1862">
        <v>22502504</v>
      </c>
      <c r="C1862">
        <v>13</v>
      </c>
      <c r="D1862" s="1" t="s">
        <v>1066</v>
      </c>
      <c r="E1862">
        <v>10</v>
      </c>
    </row>
    <row r="1863" spans="1:5" x14ac:dyDescent="0.2">
      <c r="A1863">
        <v>10014354</v>
      </c>
      <c r="B1863">
        <v>22502504</v>
      </c>
      <c r="C1863">
        <v>2</v>
      </c>
      <c r="D1863" s="1" t="s">
        <v>478</v>
      </c>
      <c r="E1863">
        <v>10</v>
      </c>
    </row>
    <row r="1864" spans="1:5" x14ac:dyDescent="0.2">
      <c r="A1864">
        <v>10014354</v>
      </c>
      <c r="B1864">
        <v>22502504</v>
      </c>
      <c r="C1864">
        <v>6</v>
      </c>
      <c r="D1864" s="1" t="s">
        <v>762</v>
      </c>
      <c r="E1864">
        <v>10</v>
      </c>
    </row>
    <row r="1865" spans="1:5" x14ac:dyDescent="0.2">
      <c r="A1865">
        <v>10014354</v>
      </c>
      <c r="B1865">
        <v>22502504</v>
      </c>
      <c r="C1865">
        <v>19</v>
      </c>
      <c r="D1865" s="1" t="s">
        <v>324</v>
      </c>
      <c r="E1865">
        <v>10</v>
      </c>
    </row>
    <row r="1866" spans="1:5" x14ac:dyDescent="0.2">
      <c r="A1866">
        <v>10014354</v>
      </c>
      <c r="B1866">
        <v>22502504</v>
      </c>
      <c r="C1866">
        <v>10</v>
      </c>
      <c r="D1866" s="1" t="s">
        <v>379</v>
      </c>
      <c r="E1866">
        <v>10</v>
      </c>
    </row>
    <row r="1867" spans="1:5" x14ac:dyDescent="0.2">
      <c r="A1867">
        <v>10014354</v>
      </c>
      <c r="B1867">
        <v>22502504</v>
      </c>
      <c r="C1867">
        <v>5</v>
      </c>
      <c r="D1867" s="1" t="s">
        <v>477</v>
      </c>
      <c r="E1867">
        <v>10</v>
      </c>
    </row>
    <row r="1868" spans="1:5" x14ac:dyDescent="0.2">
      <c r="A1868">
        <v>10014354</v>
      </c>
      <c r="B1868">
        <v>22502504</v>
      </c>
      <c r="C1868">
        <v>15</v>
      </c>
      <c r="D1868" s="1" t="s">
        <v>1071</v>
      </c>
      <c r="E1868">
        <v>10</v>
      </c>
    </row>
    <row r="1869" spans="1:5" x14ac:dyDescent="0.2">
      <c r="A1869">
        <v>10014354</v>
      </c>
      <c r="B1869">
        <v>22502504</v>
      </c>
      <c r="C1869">
        <v>9</v>
      </c>
      <c r="D1869" s="1" t="s">
        <v>620</v>
      </c>
      <c r="E1869">
        <v>10</v>
      </c>
    </row>
    <row r="1870" spans="1:5" x14ac:dyDescent="0.2">
      <c r="A1870">
        <v>10014354</v>
      </c>
      <c r="B1870">
        <v>22502504</v>
      </c>
      <c r="C1870">
        <v>18</v>
      </c>
      <c r="D1870" s="1" t="s">
        <v>438</v>
      </c>
      <c r="E1870">
        <v>10</v>
      </c>
    </row>
    <row r="1871" spans="1:5" x14ac:dyDescent="0.2">
      <c r="A1871">
        <v>10014354</v>
      </c>
      <c r="B1871">
        <v>22502504</v>
      </c>
      <c r="C1871">
        <v>16</v>
      </c>
      <c r="D1871" s="1" t="s">
        <v>1107</v>
      </c>
      <c r="E1871">
        <v>10</v>
      </c>
    </row>
    <row r="1872" spans="1:5" x14ac:dyDescent="0.2">
      <c r="A1872">
        <v>10014354</v>
      </c>
      <c r="B1872">
        <v>22502504</v>
      </c>
      <c r="C1872">
        <v>11</v>
      </c>
      <c r="D1872" s="1" t="s">
        <v>329</v>
      </c>
      <c r="E1872">
        <v>10</v>
      </c>
    </row>
    <row r="1873" spans="1:5" x14ac:dyDescent="0.2">
      <c r="A1873">
        <v>10014354</v>
      </c>
      <c r="B1873">
        <v>22502504</v>
      </c>
      <c r="C1873">
        <v>17</v>
      </c>
      <c r="D1873" s="1" t="s">
        <v>560</v>
      </c>
      <c r="E1873">
        <v>10</v>
      </c>
    </row>
    <row r="1874" spans="1:5" x14ac:dyDescent="0.2">
      <c r="A1874">
        <v>10014354</v>
      </c>
      <c r="B1874">
        <v>26173805</v>
      </c>
      <c r="C1874">
        <v>9</v>
      </c>
      <c r="D1874" s="1" t="s">
        <v>620</v>
      </c>
      <c r="E1874">
        <v>10</v>
      </c>
    </row>
    <row r="1875" spans="1:5" x14ac:dyDescent="0.2">
      <c r="A1875">
        <v>10014354</v>
      </c>
      <c r="B1875">
        <v>26173805</v>
      </c>
      <c r="C1875">
        <v>8</v>
      </c>
      <c r="D1875" s="1" t="s">
        <v>996</v>
      </c>
      <c r="E1875">
        <v>10</v>
      </c>
    </row>
    <row r="1876" spans="1:5" x14ac:dyDescent="0.2">
      <c r="A1876">
        <v>10014354</v>
      </c>
      <c r="B1876">
        <v>26173805</v>
      </c>
      <c r="C1876">
        <v>11</v>
      </c>
      <c r="D1876" s="1" t="s">
        <v>1108</v>
      </c>
      <c r="E1876">
        <v>10</v>
      </c>
    </row>
    <row r="1877" spans="1:5" x14ac:dyDescent="0.2">
      <c r="A1877">
        <v>10014354</v>
      </c>
      <c r="B1877">
        <v>26173805</v>
      </c>
      <c r="C1877">
        <v>1</v>
      </c>
      <c r="D1877" s="1" t="s">
        <v>1109</v>
      </c>
      <c r="E1877">
        <v>10</v>
      </c>
    </row>
    <row r="1878" spans="1:5" x14ac:dyDescent="0.2">
      <c r="A1878">
        <v>10014354</v>
      </c>
      <c r="B1878">
        <v>26173805</v>
      </c>
      <c r="C1878">
        <v>16</v>
      </c>
      <c r="D1878" s="1" t="s">
        <v>478</v>
      </c>
      <c r="E1878">
        <v>10</v>
      </c>
    </row>
    <row r="1879" spans="1:5" x14ac:dyDescent="0.2">
      <c r="A1879">
        <v>10014354</v>
      </c>
      <c r="B1879">
        <v>26173805</v>
      </c>
      <c r="C1879">
        <v>12</v>
      </c>
      <c r="D1879" s="1" t="s">
        <v>379</v>
      </c>
      <c r="E1879">
        <v>10</v>
      </c>
    </row>
    <row r="1880" spans="1:5" x14ac:dyDescent="0.2">
      <c r="A1880">
        <v>10014354</v>
      </c>
      <c r="B1880">
        <v>26173805</v>
      </c>
      <c r="C1880">
        <v>19</v>
      </c>
      <c r="D1880" s="1" t="s">
        <v>380</v>
      </c>
      <c r="E1880">
        <v>10</v>
      </c>
    </row>
    <row r="1881" spans="1:5" x14ac:dyDescent="0.2">
      <c r="A1881">
        <v>10014354</v>
      </c>
      <c r="B1881">
        <v>26173805</v>
      </c>
      <c r="C1881">
        <v>20</v>
      </c>
      <c r="D1881" s="1" t="s">
        <v>1095</v>
      </c>
      <c r="E1881">
        <v>10</v>
      </c>
    </row>
    <row r="1882" spans="1:5" x14ac:dyDescent="0.2">
      <c r="A1882">
        <v>10014354</v>
      </c>
      <c r="B1882">
        <v>26173805</v>
      </c>
      <c r="C1882">
        <v>13</v>
      </c>
      <c r="D1882" s="1" t="s">
        <v>329</v>
      </c>
      <c r="E1882">
        <v>10</v>
      </c>
    </row>
    <row r="1883" spans="1:5" x14ac:dyDescent="0.2">
      <c r="A1883">
        <v>10014354</v>
      </c>
      <c r="B1883">
        <v>26173805</v>
      </c>
      <c r="C1883">
        <v>2</v>
      </c>
      <c r="D1883" s="1" t="s">
        <v>1110</v>
      </c>
      <c r="E1883">
        <v>10</v>
      </c>
    </row>
    <row r="1884" spans="1:5" x14ac:dyDescent="0.2">
      <c r="A1884">
        <v>10014354</v>
      </c>
      <c r="B1884">
        <v>26173805</v>
      </c>
      <c r="C1884">
        <v>15</v>
      </c>
      <c r="D1884" s="1" t="s">
        <v>1099</v>
      </c>
      <c r="E1884">
        <v>10</v>
      </c>
    </row>
    <row r="1885" spans="1:5" x14ac:dyDescent="0.2">
      <c r="A1885">
        <v>10014354</v>
      </c>
      <c r="B1885">
        <v>26173805</v>
      </c>
      <c r="C1885">
        <v>17</v>
      </c>
      <c r="D1885" s="1" t="s">
        <v>1072</v>
      </c>
      <c r="E1885">
        <v>10</v>
      </c>
    </row>
    <row r="1886" spans="1:5" x14ac:dyDescent="0.2">
      <c r="A1886">
        <v>10014354</v>
      </c>
      <c r="B1886">
        <v>26173805</v>
      </c>
      <c r="C1886">
        <v>18</v>
      </c>
      <c r="D1886" s="1" t="s">
        <v>1066</v>
      </c>
      <c r="E1886">
        <v>10</v>
      </c>
    </row>
    <row r="1887" spans="1:5" x14ac:dyDescent="0.2">
      <c r="A1887">
        <v>10014354</v>
      </c>
      <c r="B1887">
        <v>26173805</v>
      </c>
      <c r="C1887">
        <v>3</v>
      </c>
      <c r="D1887" s="1" t="s">
        <v>1111</v>
      </c>
      <c r="E1887">
        <v>10</v>
      </c>
    </row>
    <row r="1888" spans="1:5" x14ac:dyDescent="0.2">
      <c r="A1888">
        <v>10014354</v>
      </c>
      <c r="B1888">
        <v>26173805</v>
      </c>
      <c r="C1888">
        <v>10</v>
      </c>
      <c r="D1888" s="1" t="s">
        <v>560</v>
      </c>
      <c r="E1888">
        <v>10</v>
      </c>
    </row>
    <row r="1889" spans="1:5" x14ac:dyDescent="0.2">
      <c r="A1889">
        <v>10014354</v>
      </c>
      <c r="B1889">
        <v>26173805</v>
      </c>
      <c r="C1889">
        <v>5</v>
      </c>
      <c r="D1889" s="1" t="s">
        <v>1112</v>
      </c>
      <c r="E1889">
        <v>10</v>
      </c>
    </row>
    <row r="1890" spans="1:5" x14ac:dyDescent="0.2">
      <c r="A1890">
        <v>10014354</v>
      </c>
      <c r="B1890">
        <v>26173805</v>
      </c>
      <c r="C1890">
        <v>4</v>
      </c>
      <c r="D1890" s="1" t="s">
        <v>1113</v>
      </c>
      <c r="E1890">
        <v>10</v>
      </c>
    </row>
    <row r="1891" spans="1:5" x14ac:dyDescent="0.2">
      <c r="A1891">
        <v>10014354</v>
      </c>
      <c r="B1891">
        <v>26173805</v>
      </c>
      <c r="C1891">
        <v>14</v>
      </c>
      <c r="D1891" s="1" t="s">
        <v>1079</v>
      </c>
      <c r="E1891">
        <v>10</v>
      </c>
    </row>
    <row r="1892" spans="1:5" x14ac:dyDescent="0.2">
      <c r="A1892">
        <v>10014354</v>
      </c>
      <c r="B1892">
        <v>26173805</v>
      </c>
      <c r="C1892">
        <v>21</v>
      </c>
      <c r="D1892" s="1" t="s">
        <v>521</v>
      </c>
      <c r="E1892">
        <v>10</v>
      </c>
    </row>
    <row r="1893" spans="1:5" x14ac:dyDescent="0.2">
      <c r="A1893">
        <v>10014354</v>
      </c>
      <c r="B1893">
        <v>26173805</v>
      </c>
      <c r="C1893">
        <v>6</v>
      </c>
      <c r="D1893" s="1" t="s">
        <v>1074</v>
      </c>
      <c r="E1893">
        <v>10</v>
      </c>
    </row>
    <row r="1894" spans="1:5" x14ac:dyDescent="0.2">
      <c r="A1894">
        <v>10014354</v>
      </c>
      <c r="B1894">
        <v>26173805</v>
      </c>
      <c r="C1894">
        <v>7</v>
      </c>
      <c r="D1894" s="1" t="s">
        <v>788</v>
      </c>
      <c r="E1894">
        <v>10</v>
      </c>
    </row>
    <row r="1895" spans="1:5" x14ac:dyDescent="0.2">
      <c r="A1895">
        <v>10014354</v>
      </c>
      <c r="B1895">
        <v>23132022</v>
      </c>
      <c r="C1895">
        <v>1</v>
      </c>
      <c r="D1895" s="1" t="s">
        <v>1114</v>
      </c>
      <c r="E1895">
        <v>10</v>
      </c>
    </row>
    <row r="1896" spans="1:5" x14ac:dyDescent="0.2">
      <c r="A1896">
        <v>10014354</v>
      </c>
      <c r="B1896">
        <v>23132022</v>
      </c>
      <c r="C1896">
        <v>18</v>
      </c>
      <c r="D1896" s="1" t="s">
        <v>1084</v>
      </c>
      <c r="E1896">
        <v>10</v>
      </c>
    </row>
    <row r="1897" spans="1:5" x14ac:dyDescent="0.2">
      <c r="A1897">
        <v>10014354</v>
      </c>
      <c r="B1897">
        <v>23132022</v>
      </c>
      <c r="C1897">
        <v>13</v>
      </c>
      <c r="D1897" s="1" t="s">
        <v>1115</v>
      </c>
      <c r="E1897">
        <v>10</v>
      </c>
    </row>
    <row r="1898" spans="1:5" x14ac:dyDescent="0.2">
      <c r="A1898">
        <v>10014354</v>
      </c>
      <c r="B1898">
        <v>23132022</v>
      </c>
      <c r="C1898">
        <v>9</v>
      </c>
      <c r="D1898" s="1" t="s">
        <v>560</v>
      </c>
      <c r="E1898">
        <v>10</v>
      </c>
    </row>
    <row r="1899" spans="1:5" x14ac:dyDescent="0.2">
      <c r="A1899">
        <v>10014354</v>
      </c>
      <c r="B1899">
        <v>23132022</v>
      </c>
      <c r="C1899">
        <v>17</v>
      </c>
      <c r="D1899" s="1" t="s">
        <v>333</v>
      </c>
      <c r="E1899">
        <v>10</v>
      </c>
    </row>
    <row r="1900" spans="1:5" x14ac:dyDescent="0.2">
      <c r="A1900">
        <v>10014354</v>
      </c>
      <c r="B1900">
        <v>23132022</v>
      </c>
      <c r="C1900">
        <v>2</v>
      </c>
      <c r="D1900" s="1" t="s">
        <v>1074</v>
      </c>
      <c r="E1900">
        <v>10</v>
      </c>
    </row>
    <row r="1901" spans="1:5" x14ac:dyDescent="0.2">
      <c r="A1901">
        <v>10014354</v>
      </c>
      <c r="B1901">
        <v>23132022</v>
      </c>
      <c r="C1901">
        <v>4</v>
      </c>
      <c r="D1901" s="1" t="s">
        <v>996</v>
      </c>
      <c r="E1901">
        <v>10</v>
      </c>
    </row>
    <row r="1902" spans="1:5" x14ac:dyDescent="0.2">
      <c r="A1902">
        <v>10014354</v>
      </c>
      <c r="B1902">
        <v>23132022</v>
      </c>
      <c r="C1902">
        <v>16</v>
      </c>
      <c r="D1902" s="1" t="s">
        <v>329</v>
      </c>
      <c r="E1902">
        <v>10</v>
      </c>
    </row>
    <row r="1903" spans="1:5" x14ac:dyDescent="0.2">
      <c r="A1903">
        <v>10014354</v>
      </c>
      <c r="B1903">
        <v>23132022</v>
      </c>
      <c r="C1903">
        <v>20</v>
      </c>
      <c r="D1903" s="1" t="s">
        <v>478</v>
      </c>
      <c r="E1903">
        <v>10</v>
      </c>
    </row>
    <row r="1904" spans="1:5" x14ac:dyDescent="0.2">
      <c r="A1904">
        <v>10014354</v>
      </c>
      <c r="B1904">
        <v>23132022</v>
      </c>
      <c r="C1904">
        <v>7</v>
      </c>
      <c r="D1904" s="1" t="s">
        <v>429</v>
      </c>
      <c r="E1904">
        <v>10</v>
      </c>
    </row>
    <row r="1905" spans="1:5" x14ac:dyDescent="0.2">
      <c r="A1905">
        <v>10014354</v>
      </c>
      <c r="B1905">
        <v>23132022</v>
      </c>
      <c r="C1905">
        <v>6</v>
      </c>
      <c r="D1905" s="1" t="s">
        <v>421</v>
      </c>
      <c r="E1905">
        <v>10</v>
      </c>
    </row>
    <row r="1906" spans="1:5" x14ac:dyDescent="0.2">
      <c r="A1906">
        <v>10014354</v>
      </c>
      <c r="B1906">
        <v>23132022</v>
      </c>
      <c r="C1906">
        <v>22</v>
      </c>
      <c r="D1906" s="1" t="s">
        <v>378</v>
      </c>
      <c r="E1906">
        <v>10</v>
      </c>
    </row>
    <row r="1907" spans="1:5" x14ac:dyDescent="0.2">
      <c r="A1907">
        <v>10014354</v>
      </c>
      <c r="B1907">
        <v>23132022</v>
      </c>
      <c r="C1907">
        <v>14</v>
      </c>
      <c r="D1907" s="1" t="s">
        <v>379</v>
      </c>
      <c r="E1907">
        <v>10</v>
      </c>
    </row>
    <row r="1908" spans="1:5" x14ac:dyDescent="0.2">
      <c r="A1908">
        <v>10014354</v>
      </c>
      <c r="B1908">
        <v>23132022</v>
      </c>
      <c r="C1908">
        <v>21</v>
      </c>
      <c r="D1908" s="1" t="s">
        <v>1070</v>
      </c>
      <c r="E1908">
        <v>10</v>
      </c>
    </row>
    <row r="1909" spans="1:5" x14ac:dyDescent="0.2">
      <c r="A1909">
        <v>10014354</v>
      </c>
      <c r="B1909">
        <v>23132022</v>
      </c>
      <c r="C1909">
        <v>8</v>
      </c>
      <c r="D1909" s="1" t="s">
        <v>1079</v>
      </c>
      <c r="E1909">
        <v>10</v>
      </c>
    </row>
    <row r="1910" spans="1:5" x14ac:dyDescent="0.2">
      <c r="A1910">
        <v>10014354</v>
      </c>
      <c r="B1910">
        <v>23132022</v>
      </c>
      <c r="C1910">
        <v>12</v>
      </c>
      <c r="D1910" s="1" t="s">
        <v>477</v>
      </c>
      <c r="E1910">
        <v>10</v>
      </c>
    </row>
    <row r="1911" spans="1:5" x14ac:dyDescent="0.2">
      <c r="A1911">
        <v>10014354</v>
      </c>
      <c r="B1911">
        <v>23132022</v>
      </c>
      <c r="C1911">
        <v>5</v>
      </c>
      <c r="D1911" s="1" t="s">
        <v>761</v>
      </c>
      <c r="E1911">
        <v>10</v>
      </c>
    </row>
    <row r="1912" spans="1:5" x14ac:dyDescent="0.2">
      <c r="A1912">
        <v>10014354</v>
      </c>
      <c r="B1912">
        <v>23132022</v>
      </c>
      <c r="C1912">
        <v>19</v>
      </c>
      <c r="D1912" s="1" t="s">
        <v>1077</v>
      </c>
      <c r="E1912">
        <v>10</v>
      </c>
    </row>
    <row r="1913" spans="1:5" x14ac:dyDescent="0.2">
      <c r="A1913">
        <v>10014354</v>
      </c>
      <c r="B1913">
        <v>23132022</v>
      </c>
      <c r="C1913">
        <v>11</v>
      </c>
      <c r="D1913" s="1" t="s">
        <v>335</v>
      </c>
      <c r="E1913">
        <v>10</v>
      </c>
    </row>
    <row r="1914" spans="1:5" x14ac:dyDescent="0.2">
      <c r="A1914">
        <v>10014354</v>
      </c>
      <c r="B1914">
        <v>23132022</v>
      </c>
      <c r="C1914">
        <v>15</v>
      </c>
      <c r="D1914" s="1" t="s">
        <v>446</v>
      </c>
      <c r="E1914">
        <v>10</v>
      </c>
    </row>
    <row r="1915" spans="1:5" x14ac:dyDescent="0.2">
      <c r="A1915">
        <v>10014354</v>
      </c>
      <c r="B1915">
        <v>23132022</v>
      </c>
      <c r="C1915">
        <v>10</v>
      </c>
      <c r="D1915" s="1" t="s">
        <v>889</v>
      </c>
      <c r="E1915">
        <v>10</v>
      </c>
    </row>
    <row r="1916" spans="1:5" x14ac:dyDescent="0.2">
      <c r="A1916">
        <v>10014354</v>
      </c>
      <c r="B1916">
        <v>23132022</v>
      </c>
      <c r="C1916">
        <v>3</v>
      </c>
      <c r="D1916" s="1" t="s">
        <v>423</v>
      </c>
      <c r="E1916">
        <v>10</v>
      </c>
    </row>
    <row r="1917" spans="1:5" x14ac:dyDescent="0.2">
      <c r="A1917">
        <v>10014354</v>
      </c>
      <c r="B1917">
        <v>24980601</v>
      </c>
      <c r="C1917">
        <v>26</v>
      </c>
      <c r="D1917" s="1" t="s">
        <v>1080</v>
      </c>
      <c r="E1917">
        <v>10</v>
      </c>
    </row>
    <row r="1918" spans="1:5" x14ac:dyDescent="0.2">
      <c r="A1918">
        <v>10014354</v>
      </c>
      <c r="B1918">
        <v>24980601</v>
      </c>
      <c r="C1918">
        <v>24</v>
      </c>
      <c r="D1918" s="1" t="s">
        <v>1116</v>
      </c>
      <c r="E1918">
        <v>10</v>
      </c>
    </row>
    <row r="1919" spans="1:5" x14ac:dyDescent="0.2">
      <c r="A1919">
        <v>10014354</v>
      </c>
      <c r="B1919">
        <v>24980601</v>
      </c>
      <c r="C1919">
        <v>15</v>
      </c>
      <c r="D1919" s="1" t="s">
        <v>1071</v>
      </c>
      <c r="E1919">
        <v>10</v>
      </c>
    </row>
    <row r="1920" spans="1:5" x14ac:dyDescent="0.2">
      <c r="A1920">
        <v>10014354</v>
      </c>
      <c r="B1920">
        <v>24980601</v>
      </c>
      <c r="C1920">
        <v>22</v>
      </c>
      <c r="D1920" s="1" t="s">
        <v>893</v>
      </c>
      <c r="E1920">
        <v>10</v>
      </c>
    </row>
    <row r="1921" spans="1:5" x14ac:dyDescent="0.2">
      <c r="A1921">
        <v>10014354</v>
      </c>
      <c r="B1921">
        <v>24980601</v>
      </c>
      <c r="C1921">
        <v>23</v>
      </c>
      <c r="D1921" s="1" t="s">
        <v>1117</v>
      </c>
      <c r="E1921">
        <v>10</v>
      </c>
    </row>
    <row r="1922" spans="1:5" x14ac:dyDescent="0.2">
      <c r="A1922">
        <v>10014354</v>
      </c>
      <c r="B1922">
        <v>24980601</v>
      </c>
      <c r="C1922">
        <v>11</v>
      </c>
      <c r="D1922" s="1" t="s">
        <v>1118</v>
      </c>
      <c r="E1922">
        <v>10</v>
      </c>
    </row>
    <row r="1923" spans="1:5" x14ac:dyDescent="0.2">
      <c r="A1923">
        <v>10014354</v>
      </c>
      <c r="B1923">
        <v>24980601</v>
      </c>
      <c r="C1923">
        <v>29</v>
      </c>
      <c r="D1923" s="1" t="s">
        <v>620</v>
      </c>
      <c r="E1923">
        <v>10</v>
      </c>
    </row>
    <row r="1924" spans="1:5" x14ac:dyDescent="0.2">
      <c r="A1924">
        <v>10014354</v>
      </c>
      <c r="B1924">
        <v>24980601</v>
      </c>
      <c r="C1924">
        <v>28</v>
      </c>
      <c r="D1924" s="1" t="s">
        <v>477</v>
      </c>
      <c r="E1924">
        <v>10</v>
      </c>
    </row>
    <row r="1925" spans="1:5" x14ac:dyDescent="0.2">
      <c r="A1925">
        <v>10014354</v>
      </c>
      <c r="B1925">
        <v>24980601</v>
      </c>
      <c r="C1925">
        <v>3</v>
      </c>
      <c r="D1925" s="1" t="s">
        <v>1119</v>
      </c>
      <c r="E1925">
        <v>10</v>
      </c>
    </row>
    <row r="1926" spans="1:5" x14ac:dyDescent="0.2">
      <c r="A1926">
        <v>10014354</v>
      </c>
      <c r="B1926">
        <v>24980601</v>
      </c>
      <c r="C1926">
        <v>9</v>
      </c>
      <c r="D1926" s="1" t="s">
        <v>378</v>
      </c>
      <c r="E1926">
        <v>10</v>
      </c>
    </row>
    <row r="1927" spans="1:5" x14ac:dyDescent="0.2">
      <c r="A1927">
        <v>10014354</v>
      </c>
      <c r="B1927">
        <v>24980601</v>
      </c>
      <c r="C1927">
        <v>30</v>
      </c>
      <c r="D1927" s="1" t="s">
        <v>1077</v>
      </c>
      <c r="E1927">
        <v>10</v>
      </c>
    </row>
    <row r="1928" spans="1:5" x14ac:dyDescent="0.2">
      <c r="A1928">
        <v>10014354</v>
      </c>
      <c r="B1928">
        <v>24980601</v>
      </c>
      <c r="C1928">
        <v>1</v>
      </c>
      <c r="D1928" s="1" t="s">
        <v>1120</v>
      </c>
      <c r="E1928">
        <v>10</v>
      </c>
    </row>
    <row r="1929" spans="1:5" x14ac:dyDescent="0.2">
      <c r="A1929">
        <v>10014354</v>
      </c>
      <c r="B1929">
        <v>24980601</v>
      </c>
      <c r="C1929">
        <v>27</v>
      </c>
      <c r="D1929" s="1" t="s">
        <v>1108</v>
      </c>
      <c r="E1929">
        <v>10</v>
      </c>
    </row>
    <row r="1930" spans="1:5" x14ac:dyDescent="0.2">
      <c r="A1930">
        <v>10014354</v>
      </c>
      <c r="B1930">
        <v>24980601</v>
      </c>
      <c r="C1930">
        <v>12</v>
      </c>
      <c r="D1930" s="1" t="s">
        <v>895</v>
      </c>
      <c r="E1930">
        <v>10</v>
      </c>
    </row>
    <row r="1931" spans="1:5" x14ac:dyDescent="0.2">
      <c r="A1931">
        <v>10014354</v>
      </c>
      <c r="B1931">
        <v>24980601</v>
      </c>
      <c r="C1931">
        <v>25</v>
      </c>
      <c r="D1931" s="1" t="s">
        <v>1121</v>
      </c>
      <c r="E1931">
        <v>10</v>
      </c>
    </row>
    <row r="1932" spans="1:5" x14ac:dyDescent="0.2">
      <c r="A1932">
        <v>10014354</v>
      </c>
      <c r="B1932">
        <v>24980601</v>
      </c>
      <c r="C1932">
        <v>17</v>
      </c>
      <c r="D1932" s="1" t="s">
        <v>478</v>
      </c>
      <c r="E1932">
        <v>10</v>
      </c>
    </row>
    <row r="1933" spans="1:5" x14ac:dyDescent="0.2">
      <c r="A1933">
        <v>10014354</v>
      </c>
      <c r="B1933">
        <v>24980601</v>
      </c>
      <c r="C1933">
        <v>8</v>
      </c>
      <c r="D1933" s="1" t="s">
        <v>329</v>
      </c>
      <c r="E1933">
        <v>10</v>
      </c>
    </row>
    <row r="1934" spans="1:5" x14ac:dyDescent="0.2">
      <c r="A1934">
        <v>10014354</v>
      </c>
      <c r="B1934">
        <v>24980601</v>
      </c>
      <c r="C1934">
        <v>13</v>
      </c>
      <c r="D1934" s="1" t="s">
        <v>1079</v>
      </c>
      <c r="E1934">
        <v>10</v>
      </c>
    </row>
    <row r="1935" spans="1:5" x14ac:dyDescent="0.2">
      <c r="A1935">
        <v>10014354</v>
      </c>
      <c r="B1935">
        <v>24980601</v>
      </c>
      <c r="C1935">
        <v>2</v>
      </c>
      <c r="D1935" s="1" t="s">
        <v>1074</v>
      </c>
      <c r="E1935">
        <v>10</v>
      </c>
    </row>
    <row r="1936" spans="1:5" x14ac:dyDescent="0.2">
      <c r="A1936">
        <v>10014354</v>
      </c>
      <c r="B1936">
        <v>24980601</v>
      </c>
      <c r="C1936">
        <v>10</v>
      </c>
      <c r="D1936" s="1" t="s">
        <v>335</v>
      </c>
      <c r="E1936">
        <v>10</v>
      </c>
    </row>
    <row r="1937" spans="1:5" x14ac:dyDescent="0.2">
      <c r="A1937">
        <v>10014354</v>
      </c>
      <c r="B1937">
        <v>24980601</v>
      </c>
      <c r="C1937">
        <v>6</v>
      </c>
      <c r="D1937" s="1" t="s">
        <v>1122</v>
      </c>
      <c r="E1937">
        <v>10</v>
      </c>
    </row>
    <row r="1938" spans="1:5" x14ac:dyDescent="0.2">
      <c r="A1938">
        <v>10014354</v>
      </c>
      <c r="B1938">
        <v>24980601</v>
      </c>
      <c r="C1938">
        <v>7</v>
      </c>
      <c r="D1938" s="1" t="s">
        <v>379</v>
      </c>
      <c r="E1938">
        <v>10</v>
      </c>
    </row>
    <row r="1939" spans="1:5" x14ac:dyDescent="0.2">
      <c r="A1939">
        <v>10014354</v>
      </c>
      <c r="B1939">
        <v>24980601</v>
      </c>
      <c r="C1939">
        <v>4</v>
      </c>
      <c r="D1939" s="1" t="s">
        <v>1123</v>
      </c>
      <c r="E1939">
        <v>10</v>
      </c>
    </row>
    <row r="1940" spans="1:5" x14ac:dyDescent="0.2">
      <c r="A1940">
        <v>10014354</v>
      </c>
      <c r="B1940">
        <v>24980601</v>
      </c>
      <c r="C1940">
        <v>16</v>
      </c>
      <c r="D1940" s="1" t="s">
        <v>1124</v>
      </c>
      <c r="E1940">
        <v>10</v>
      </c>
    </row>
    <row r="1941" spans="1:5" x14ac:dyDescent="0.2">
      <c r="A1941">
        <v>10014354</v>
      </c>
      <c r="B1941">
        <v>24980601</v>
      </c>
      <c r="C1941">
        <v>21</v>
      </c>
      <c r="D1941" s="1" t="s">
        <v>312</v>
      </c>
      <c r="E1941">
        <v>10</v>
      </c>
    </row>
    <row r="1942" spans="1:5" x14ac:dyDescent="0.2">
      <c r="A1942">
        <v>10014354</v>
      </c>
      <c r="B1942">
        <v>24980601</v>
      </c>
      <c r="C1942">
        <v>14</v>
      </c>
      <c r="D1942" s="1" t="s">
        <v>560</v>
      </c>
      <c r="E1942">
        <v>10</v>
      </c>
    </row>
    <row r="1943" spans="1:5" x14ac:dyDescent="0.2">
      <c r="A1943">
        <v>10014354</v>
      </c>
      <c r="B1943">
        <v>24980601</v>
      </c>
      <c r="C1943">
        <v>18</v>
      </c>
      <c r="D1943" s="1" t="s">
        <v>333</v>
      </c>
      <c r="E1943">
        <v>10</v>
      </c>
    </row>
    <row r="1944" spans="1:5" x14ac:dyDescent="0.2">
      <c r="A1944">
        <v>10014354</v>
      </c>
      <c r="B1944">
        <v>24980601</v>
      </c>
      <c r="C1944">
        <v>20</v>
      </c>
      <c r="D1944" s="1" t="s">
        <v>889</v>
      </c>
      <c r="E1944">
        <v>10</v>
      </c>
    </row>
    <row r="1945" spans="1:5" x14ac:dyDescent="0.2">
      <c r="A1945">
        <v>10014354</v>
      </c>
      <c r="B1945">
        <v>24980601</v>
      </c>
      <c r="C1945">
        <v>5</v>
      </c>
      <c r="D1945" s="1" t="s">
        <v>996</v>
      </c>
      <c r="E1945">
        <v>10</v>
      </c>
    </row>
    <row r="1946" spans="1:5" x14ac:dyDescent="0.2">
      <c r="A1946">
        <v>10014354</v>
      </c>
      <c r="B1946">
        <v>24980601</v>
      </c>
      <c r="C1946">
        <v>19</v>
      </c>
      <c r="D1946" s="1" t="s">
        <v>1125</v>
      </c>
      <c r="E1946">
        <v>10</v>
      </c>
    </row>
    <row r="1947" spans="1:5" x14ac:dyDescent="0.2">
      <c r="A1947">
        <v>10014354</v>
      </c>
      <c r="B1947">
        <v>26486158</v>
      </c>
      <c r="C1947">
        <v>16</v>
      </c>
      <c r="D1947" s="1" t="s">
        <v>477</v>
      </c>
      <c r="E1947">
        <v>10</v>
      </c>
    </row>
    <row r="1948" spans="1:5" x14ac:dyDescent="0.2">
      <c r="A1948">
        <v>10014354</v>
      </c>
      <c r="B1948">
        <v>26486158</v>
      </c>
      <c r="C1948">
        <v>18</v>
      </c>
      <c r="D1948" s="1" t="s">
        <v>446</v>
      </c>
      <c r="E1948">
        <v>10</v>
      </c>
    </row>
    <row r="1949" spans="1:5" x14ac:dyDescent="0.2">
      <c r="A1949">
        <v>10014354</v>
      </c>
      <c r="B1949">
        <v>26486158</v>
      </c>
      <c r="C1949">
        <v>25</v>
      </c>
      <c r="D1949" s="1" t="s">
        <v>1069</v>
      </c>
      <c r="E1949">
        <v>10</v>
      </c>
    </row>
    <row r="1950" spans="1:5" x14ac:dyDescent="0.2">
      <c r="A1950">
        <v>10014354</v>
      </c>
      <c r="B1950">
        <v>26486158</v>
      </c>
      <c r="C1950">
        <v>12</v>
      </c>
      <c r="D1950" s="1" t="s">
        <v>1081</v>
      </c>
      <c r="E1950">
        <v>10</v>
      </c>
    </row>
    <row r="1951" spans="1:5" x14ac:dyDescent="0.2">
      <c r="A1951">
        <v>10014354</v>
      </c>
      <c r="B1951">
        <v>26486158</v>
      </c>
      <c r="C1951">
        <v>2</v>
      </c>
      <c r="D1951" s="1" t="s">
        <v>879</v>
      </c>
      <c r="E1951">
        <v>10</v>
      </c>
    </row>
    <row r="1952" spans="1:5" x14ac:dyDescent="0.2">
      <c r="A1952">
        <v>10014354</v>
      </c>
      <c r="B1952">
        <v>26486158</v>
      </c>
      <c r="C1952">
        <v>24</v>
      </c>
      <c r="D1952" s="1" t="s">
        <v>1024</v>
      </c>
      <c r="E1952">
        <v>10</v>
      </c>
    </row>
    <row r="1953" spans="1:5" x14ac:dyDescent="0.2">
      <c r="A1953">
        <v>10014354</v>
      </c>
      <c r="B1953">
        <v>26486158</v>
      </c>
      <c r="C1953">
        <v>21</v>
      </c>
      <c r="D1953" s="1" t="s">
        <v>1126</v>
      </c>
      <c r="E1953">
        <v>10</v>
      </c>
    </row>
    <row r="1954" spans="1:5" x14ac:dyDescent="0.2">
      <c r="A1954">
        <v>10014354</v>
      </c>
      <c r="B1954">
        <v>26486158</v>
      </c>
      <c r="C1954">
        <v>22</v>
      </c>
      <c r="D1954" s="1" t="s">
        <v>889</v>
      </c>
      <c r="E1954">
        <v>10</v>
      </c>
    </row>
    <row r="1955" spans="1:5" x14ac:dyDescent="0.2">
      <c r="A1955">
        <v>10014354</v>
      </c>
      <c r="B1955">
        <v>26486158</v>
      </c>
      <c r="C1955">
        <v>13</v>
      </c>
      <c r="D1955" s="1" t="s">
        <v>335</v>
      </c>
      <c r="E1955">
        <v>10</v>
      </c>
    </row>
    <row r="1956" spans="1:5" x14ac:dyDescent="0.2">
      <c r="A1956">
        <v>10014354</v>
      </c>
      <c r="B1956">
        <v>26486158</v>
      </c>
      <c r="C1956">
        <v>20</v>
      </c>
      <c r="D1956" s="1" t="s">
        <v>895</v>
      </c>
      <c r="E1956">
        <v>10</v>
      </c>
    </row>
    <row r="1957" spans="1:5" x14ac:dyDescent="0.2">
      <c r="A1957">
        <v>10014354</v>
      </c>
      <c r="B1957">
        <v>26486158</v>
      </c>
      <c r="C1957">
        <v>4</v>
      </c>
      <c r="D1957" s="1" t="s">
        <v>1074</v>
      </c>
      <c r="E1957">
        <v>10</v>
      </c>
    </row>
    <row r="1958" spans="1:5" x14ac:dyDescent="0.2">
      <c r="A1958">
        <v>10014354</v>
      </c>
      <c r="B1958">
        <v>26486158</v>
      </c>
      <c r="C1958">
        <v>3</v>
      </c>
      <c r="D1958" s="1" t="s">
        <v>423</v>
      </c>
      <c r="E1958">
        <v>10</v>
      </c>
    </row>
    <row r="1959" spans="1:5" x14ac:dyDescent="0.2">
      <c r="A1959">
        <v>10014354</v>
      </c>
      <c r="B1959">
        <v>26486158</v>
      </c>
      <c r="C1959">
        <v>6</v>
      </c>
      <c r="D1959" s="1" t="s">
        <v>1090</v>
      </c>
      <c r="E1959">
        <v>10</v>
      </c>
    </row>
    <row r="1960" spans="1:5" x14ac:dyDescent="0.2">
      <c r="A1960">
        <v>10014354</v>
      </c>
      <c r="B1960">
        <v>26486158</v>
      </c>
      <c r="C1960">
        <v>11</v>
      </c>
      <c r="D1960" s="1" t="s">
        <v>1078</v>
      </c>
      <c r="E1960">
        <v>10</v>
      </c>
    </row>
    <row r="1961" spans="1:5" x14ac:dyDescent="0.2">
      <c r="A1961">
        <v>10014354</v>
      </c>
      <c r="B1961">
        <v>26486158</v>
      </c>
      <c r="C1961">
        <v>8</v>
      </c>
      <c r="D1961" s="1" t="s">
        <v>1127</v>
      </c>
      <c r="E1961">
        <v>10</v>
      </c>
    </row>
    <row r="1962" spans="1:5" x14ac:dyDescent="0.2">
      <c r="A1962">
        <v>10014354</v>
      </c>
      <c r="B1962">
        <v>26486158</v>
      </c>
      <c r="C1962">
        <v>7</v>
      </c>
      <c r="D1962" s="1" t="s">
        <v>1128</v>
      </c>
      <c r="E1962">
        <v>10</v>
      </c>
    </row>
    <row r="1963" spans="1:5" x14ac:dyDescent="0.2">
      <c r="A1963">
        <v>10014354</v>
      </c>
      <c r="B1963">
        <v>26486158</v>
      </c>
      <c r="C1963">
        <v>5</v>
      </c>
      <c r="D1963" s="1" t="s">
        <v>1087</v>
      </c>
      <c r="E1963">
        <v>10</v>
      </c>
    </row>
    <row r="1964" spans="1:5" x14ac:dyDescent="0.2">
      <c r="A1964">
        <v>10014354</v>
      </c>
      <c r="B1964">
        <v>26486158</v>
      </c>
      <c r="C1964">
        <v>23</v>
      </c>
      <c r="D1964" s="1" t="s">
        <v>1129</v>
      </c>
      <c r="E1964">
        <v>10</v>
      </c>
    </row>
    <row r="1965" spans="1:5" x14ac:dyDescent="0.2">
      <c r="A1965">
        <v>10014354</v>
      </c>
      <c r="B1965">
        <v>26486158</v>
      </c>
      <c r="C1965">
        <v>14</v>
      </c>
      <c r="D1965" s="1" t="s">
        <v>560</v>
      </c>
      <c r="E1965">
        <v>10</v>
      </c>
    </row>
    <row r="1966" spans="1:5" x14ac:dyDescent="0.2">
      <c r="A1966">
        <v>10014354</v>
      </c>
      <c r="B1966">
        <v>26486158</v>
      </c>
      <c r="C1966">
        <v>15</v>
      </c>
      <c r="D1966" s="1" t="s">
        <v>329</v>
      </c>
      <c r="E1966">
        <v>10</v>
      </c>
    </row>
    <row r="1967" spans="1:5" x14ac:dyDescent="0.2">
      <c r="A1967">
        <v>10014354</v>
      </c>
      <c r="B1967">
        <v>26486158</v>
      </c>
      <c r="C1967">
        <v>19</v>
      </c>
      <c r="D1967" s="1" t="s">
        <v>620</v>
      </c>
      <c r="E1967">
        <v>10</v>
      </c>
    </row>
    <row r="1968" spans="1:5" x14ac:dyDescent="0.2">
      <c r="A1968">
        <v>10014354</v>
      </c>
      <c r="B1968">
        <v>26486158</v>
      </c>
      <c r="C1968">
        <v>17</v>
      </c>
      <c r="D1968" s="1" t="s">
        <v>1079</v>
      </c>
      <c r="E1968">
        <v>10</v>
      </c>
    </row>
    <row r="1969" spans="1:5" x14ac:dyDescent="0.2">
      <c r="A1969">
        <v>10014354</v>
      </c>
      <c r="B1969">
        <v>26486158</v>
      </c>
      <c r="C1969">
        <v>9</v>
      </c>
      <c r="D1969" s="1" t="s">
        <v>996</v>
      </c>
      <c r="E1969">
        <v>10</v>
      </c>
    </row>
    <row r="1970" spans="1:5" x14ac:dyDescent="0.2">
      <c r="A1970">
        <v>10014354</v>
      </c>
      <c r="B1970">
        <v>26486158</v>
      </c>
      <c r="C1970">
        <v>1</v>
      </c>
      <c r="D1970" s="1" t="s">
        <v>1130</v>
      </c>
      <c r="E1970">
        <v>10</v>
      </c>
    </row>
    <row r="1971" spans="1:5" x14ac:dyDescent="0.2">
      <c r="A1971">
        <v>10014354</v>
      </c>
      <c r="B1971">
        <v>26486158</v>
      </c>
      <c r="C1971">
        <v>10</v>
      </c>
      <c r="D1971" s="1" t="s">
        <v>324</v>
      </c>
      <c r="E1971">
        <v>10</v>
      </c>
    </row>
    <row r="1972" spans="1:5" x14ac:dyDescent="0.2">
      <c r="A1972">
        <v>10014354</v>
      </c>
      <c r="B1972">
        <v>29757856</v>
      </c>
      <c r="C1972">
        <v>38</v>
      </c>
      <c r="D1972" s="1" t="s">
        <v>1108</v>
      </c>
      <c r="E1972">
        <v>10</v>
      </c>
    </row>
    <row r="1973" spans="1:5" x14ac:dyDescent="0.2">
      <c r="A1973">
        <v>10014354</v>
      </c>
      <c r="B1973">
        <v>29757856</v>
      </c>
      <c r="C1973">
        <v>12</v>
      </c>
      <c r="D1973" s="1" t="s">
        <v>630</v>
      </c>
      <c r="E1973">
        <v>10</v>
      </c>
    </row>
    <row r="1974" spans="1:5" x14ac:dyDescent="0.2">
      <c r="A1974">
        <v>10014354</v>
      </c>
      <c r="B1974">
        <v>29757856</v>
      </c>
      <c r="C1974">
        <v>35</v>
      </c>
      <c r="D1974" s="1" t="s">
        <v>762</v>
      </c>
      <c r="E1974">
        <v>10</v>
      </c>
    </row>
    <row r="1975" spans="1:5" x14ac:dyDescent="0.2">
      <c r="A1975">
        <v>10014354</v>
      </c>
      <c r="B1975">
        <v>29757856</v>
      </c>
      <c r="C1975">
        <v>22</v>
      </c>
      <c r="D1975" s="1" t="s">
        <v>1131</v>
      </c>
      <c r="E1975">
        <v>10</v>
      </c>
    </row>
    <row r="1976" spans="1:5" x14ac:dyDescent="0.2">
      <c r="A1976">
        <v>10014354</v>
      </c>
      <c r="B1976">
        <v>29757856</v>
      </c>
      <c r="C1976">
        <v>26</v>
      </c>
      <c r="D1976" s="1" t="s">
        <v>1118</v>
      </c>
      <c r="E1976">
        <v>10</v>
      </c>
    </row>
    <row r="1977" spans="1:5" x14ac:dyDescent="0.2">
      <c r="A1977">
        <v>10014354</v>
      </c>
      <c r="B1977">
        <v>29757856</v>
      </c>
      <c r="C1977">
        <v>29</v>
      </c>
      <c r="D1977" s="1" t="s">
        <v>1132</v>
      </c>
      <c r="E1977">
        <v>10</v>
      </c>
    </row>
    <row r="1978" spans="1:5" x14ac:dyDescent="0.2">
      <c r="A1978">
        <v>10014354</v>
      </c>
      <c r="B1978">
        <v>29757856</v>
      </c>
      <c r="C1978">
        <v>4</v>
      </c>
      <c r="D1978" s="1" t="s">
        <v>423</v>
      </c>
      <c r="E1978">
        <v>10</v>
      </c>
    </row>
    <row r="1979" spans="1:5" x14ac:dyDescent="0.2">
      <c r="A1979">
        <v>10014354</v>
      </c>
      <c r="B1979">
        <v>29757856</v>
      </c>
      <c r="C1979">
        <v>18</v>
      </c>
      <c r="D1979" s="1" t="s">
        <v>1133</v>
      </c>
      <c r="E1979">
        <v>10</v>
      </c>
    </row>
    <row r="1980" spans="1:5" x14ac:dyDescent="0.2">
      <c r="A1980">
        <v>10014354</v>
      </c>
      <c r="B1980">
        <v>29757856</v>
      </c>
      <c r="C1980">
        <v>13</v>
      </c>
      <c r="D1980" s="1" t="s">
        <v>864</v>
      </c>
      <c r="E1980">
        <v>10</v>
      </c>
    </row>
    <row r="1981" spans="1:5" x14ac:dyDescent="0.2">
      <c r="A1981">
        <v>10014354</v>
      </c>
      <c r="B1981">
        <v>29757856</v>
      </c>
      <c r="C1981">
        <v>31</v>
      </c>
      <c r="D1981" s="1" t="s">
        <v>1079</v>
      </c>
      <c r="E1981">
        <v>10</v>
      </c>
    </row>
    <row r="1982" spans="1:5" x14ac:dyDescent="0.2">
      <c r="A1982">
        <v>10014354</v>
      </c>
      <c r="B1982">
        <v>29757856</v>
      </c>
      <c r="C1982">
        <v>37</v>
      </c>
      <c r="D1982" s="1" t="s">
        <v>620</v>
      </c>
      <c r="E1982">
        <v>10</v>
      </c>
    </row>
    <row r="1983" spans="1:5" x14ac:dyDescent="0.2">
      <c r="A1983">
        <v>10014354</v>
      </c>
      <c r="B1983">
        <v>29757856</v>
      </c>
      <c r="C1983">
        <v>14</v>
      </c>
      <c r="D1983" s="1" t="s">
        <v>996</v>
      </c>
      <c r="E1983">
        <v>10</v>
      </c>
    </row>
    <row r="1984" spans="1:5" x14ac:dyDescent="0.2">
      <c r="A1984">
        <v>10014354</v>
      </c>
      <c r="B1984">
        <v>29757856</v>
      </c>
      <c r="C1984">
        <v>19</v>
      </c>
      <c r="D1984" s="1" t="s">
        <v>1134</v>
      </c>
      <c r="E1984">
        <v>10</v>
      </c>
    </row>
    <row r="1985" spans="1:5" x14ac:dyDescent="0.2">
      <c r="A1985">
        <v>10014354</v>
      </c>
      <c r="B1985">
        <v>29757856</v>
      </c>
      <c r="C1985">
        <v>20</v>
      </c>
      <c r="D1985" s="1" t="s">
        <v>438</v>
      </c>
      <c r="E1985">
        <v>10</v>
      </c>
    </row>
    <row r="1986" spans="1:5" x14ac:dyDescent="0.2">
      <c r="A1986">
        <v>10014354</v>
      </c>
      <c r="B1986">
        <v>29757856</v>
      </c>
      <c r="C1986">
        <v>28</v>
      </c>
      <c r="D1986" s="1" t="s">
        <v>1135</v>
      </c>
      <c r="E1986">
        <v>10</v>
      </c>
    </row>
    <row r="1987" spans="1:5" x14ac:dyDescent="0.2">
      <c r="A1987">
        <v>10014354</v>
      </c>
      <c r="B1987">
        <v>29757856</v>
      </c>
      <c r="C1987">
        <v>32</v>
      </c>
      <c r="D1987" s="1" t="s">
        <v>1136</v>
      </c>
      <c r="E1987">
        <v>10</v>
      </c>
    </row>
    <row r="1988" spans="1:5" x14ac:dyDescent="0.2">
      <c r="A1988">
        <v>10014354</v>
      </c>
      <c r="B1988">
        <v>29757856</v>
      </c>
      <c r="C1988">
        <v>10</v>
      </c>
      <c r="D1988" s="1" t="s">
        <v>1137</v>
      </c>
      <c r="E1988">
        <v>10</v>
      </c>
    </row>
    <row r="1989" spans="1:5" x14ac:dyDescent="0.2">
      <c r="A1989">
        <v>10014354</v>
      </c>
      <c r="B1989">
        <v>29757856</v>
      </c>
      <c r="C1989">
        <v>33</v>
      </c>
      <c r="D1989" s="1" t="s">
        <v>1138</v>
      </c>
      <c r="E1989">
        <v>10</v>
      </c>
    </row>
    <row r="1990" spans="1:5" x14ac:dyDescent="0.2">
      <c r="A1990">
        <v>10014354</v>
      </c>
      <c r="B1990">
        <v>29757856</v>
      </c>
      <c r="C1990">
        <v>34</v>
      </c>
      <c r="D1990" s="1" t="s">
        <v>478</v>
      </c>
      <c r="E1990">
        <v>10</v>
      </c>
    </row>
    <row r="1991" spans="1:5" x14ac:dyDescent="0.2">
      <c r="A1991">
        <v>10014354</v>
      </c>
      <c r="B1991">
        <v>29757856</v>
      </c>
      <c r="C1991">
        <v>39</v>
      </c>
      <c r="D1991" s="1" t="s">
        <v>1072</v>
      </c>
      <c r="E1991">
        <v>10</v>
      </c>
    </row>
    <row r="1992" spans="1:5" x14ac:dyDescent="0.2">
      <c r="A1992">
        <v>10014354</v>
      </c>
      <c r="B1992">
        <v>29757856</v>
      </c>
      <c r="C1992">
        <v>24</v>
      </c>
      <c r="D1992" s="1" t="s">
        <v>312</v>
      </c>
      <c r="E1992">
        <v>10</v>
      </c>
    </row>
    <row r="1993" spans="1:5" x14ac:dyDescent="0.2">
      <c r="A1993">
        <v>10014354</v>
      </c>
      <c r="B1993">
        <v>29757856</v>
      </c>
      <c r="C1993">
        <v>27</v>
      </c>
      <c r="D1993" s="1" t="s">
        <v>1102</v>
      </c>
      <c r="E1993">
        <v>10</v>
      </c>
    </row>
    <row r="1994" spans="1:5" x14ac:dyDescent="0.2">
      <c r="A1994">
        <v>10014354</v>
      </c>
      <c r="B1994">
        <v>29757856</v>
      </c>
      <c r="C1994">
        <v>6</v>
      </c>
      <c r="D1994" s="1" t="s">
        <v>1127</v>
      </c>
      <c r="E1994">
        <v>10</v>
      </c>
    </row>
    <row r="1995" spans="1:5" x14ac:dyDescent="0.2">
      <c r="A1995">
        <v>10014354</v>
      </c>
      <c r="B1995">
        <v>29757856</v>
      </c>
      <c r="C1995">
        <v>21</v>
      </c>
      <c r="D1995" s="1" t="s">
        <v>924</v>
      </c>
      <c r="E1995">
        <v>10</v>
      </c>
    </row>
    <row r="1996" spans="1:5" x14ac:dyDescent="0.2">
      <c r="A1996">
        <v>10014354</v>
      </c>
      <c r="B1996">
        <v>29757856</v>
      </c>
      <c r="C1996">
        <v>1</v>
      </c>
      <c r="D1996" s="1" t="s">
        <v>1139</v>
      </c>
      <c r="E1996">
        <v>10</v>
      </c>
    </row>
    <row r="1997" spans="1:5" x14ac:dyDescent="0.2">
      <c r="A1997">
        <v>10014354</v>
      </c>
      <c r="B1997">
        <v>29757856</v>
      </c>
      <c r="C1997">
        <v>25</v>
      </c>
      <c r="D1997" s="1" t="s">
        <v>1140</v>
      </c>
      <c r="E1997">
        <v>10</v>
      </c>
    </row>
    <row r="1998" spans="1:5" x14ac:dyDescent="0.2">
      <c r="A1998">
        <v>10014354</v>
      </c>
      <c r="B1998">
        <v>29757856</v>
      </c>
      <c r="C1998">
        <v>5</v>
      </c>
      <c r="D1998" s="1" t="s">
        <v>1083</v>
      </c>
      <c r="E1998">
        <v>10</v>
      </c>
    </row>
    <row r="1999" spans="1:5" x14ac:dyDescent="0.2">
      <c r="A1999">
        <v>10014354</v>
      </c>
      <c r="B1999">
        <v>29757856</v>
      </c>
      <c r="C1999">
        <v>2</v>
      </c>
      <c r="D1999" s="1" t="s">
        <v>1141</v>
      </c>
      <c r="E1999">
        <v>10</v>
      </c>
    </row>
    <row r="2000" spans="1:5" x14ac:dyDescent="0.2">
      <c r="A2000">
        <v>10014354</v>
      </c>
      <c r="B2000">
        <v>29757856</v>
      </c>
      <c r="C2000">
        <v>8</v>
      </c>
      <c r="D2000" s="1" t="s">
        <v>374</v>
      </c>
      <c r="E2000">
        <v>10</v>
      </c>
    </row>
    <row r="2001" spans="1:5" x14ac:dyDescent="0.2">
      <c r="A2001">
        <v>10014354</v>
      </c>
      <c r="B2001">
        <v>29757856</v>
      </c>
      <c r="C2001">
        <v>3</v>
      </c>
      <c r="D2001" s="1" t="s">
        <v>1142</v>
      </c>
      <c r="E2001">
        <v>10</v>
      </c>
    </row>
    <row r="2002" spans="1:5" x14ac:dyDescent="0.2">
      <c r="A2002">
        <v>10014354</v>
      </c>
      <c r="B2002">
        <v>29757856</v>
      </c>
      <c r="C2002">
        <v>7</v>
      </c>
      <c r="D2002" s="1" t="s">
        <v>1074</v>
      </c>
      <c r="E2002">
        <v>10</v>
      </c>
    </row>
    <row r="2003" spans="1:5" x14ac:dyDescent="0.2">
      <c r="A2003">
        <v>10014354</v>
      </c>
      <c r="B2003">
        <v>29757856</v>
      </c>
      <c r="C2003">
        <v>11</v>
      </c>
      <c r="D2003" s="1" t="s">
        <v>621</v>
      </c>
      <c r="E2003">
        <v>10</v>
      </c>
    </row>
    <row r="2004" spans="1:5" x14ac:dyDescent="0.2">
      <c r="A2004">
        <v>10014354</v>
      </c>
      <c r="B2004">
        <v>29757856</v>
      </c>
      <c r="C2004">
        <v>16</v>
      </c>
      <c r="D2004" s="1" t="s">
        <v>761</v>
      </c>
      <c r="E2004">
        <v>10</v>
      </c>
    </row>
    <row r="2005" spans="1:5" x14ac:dyDescent="0.2">
      <c r="A2005">
        <v>10014354</v>
      </c>
      <c r="B2005">
        <v>29757856</v>
      </c>
      <c r="C2005">
        <v>23</v>
      </c>
      <c r="D2005" s="1" t="s">
        <v>1095</v>
      </c>
      <c r="E2005">
        <v>10</v>
      </c>
    </row>
    <row r="2006" spans="1:5" x14ac:dyDescent="0.2">
      <c r="A2006">
        <v>10014354</v>
      </c>
      <c r="B2006">
        <v>29757856</v>
      </c>
      <c r="C2006">
        <v>36</v>
      </c>
      <c r="D2006" s="1" t="s">
        <v>446</v>
      </c>
      <c r="E2006">
        <v>10</v>
      </c>
    </row>
    <row r="2007" spans="1:5" x14ac:dyDescent="0.2">
      <c r="A2007">
        <v>10014354</v>
      </c>
      <c r="B2007">
        <v>29757856</v>
      </c>
      <c r="C2007">
        <v>15</v>
      </c>
      <c r="D2007" s="1" t="s">
        <v>788</v>
      </c>
      <c r="E2007">
        <v>10</v>
      </c>
    </row>
    <row r="2008" spans="1:5" x14ac:dyDescent="0.2">
      <c r="A2008">
        <v>10014354</v>
      </c>
      <c r="B2008">
        <v>29757856</v>
      </c>
      <c r="C2008">
        <v>30</v>
      </c>
      <c r="D2008" s="1" t="s">
        <v>1143</v>
      </c>
      <c r="E2008">
        <v>10</v>
      </c>
    </row>
    <row r="2009" spans="1:5" x14ac:dyDescent="0.2">
      <c r="A2009">
        <v>10014354</v>
      </c>
      <c r="B2009">
        <v>29757856</v>
      </c>
      <c r="C2009">
        <v>17</v>
      </c>
      <c r="D2009" s="1" t="s">
        <v>560</v>
      </c>
      <c r="E2009">
        <v>10</v>
      </c>
    </row>
    <row r="2010" spans="1:5" x14ac:dyDescent="0.2">
      <c r="A2010">
        <v>10014354</v>
      </c>
      <c r="B2010">
        <v>29757856</v>
      </c>
      <c r="C2010">
        <v>9</v>
      </c>
      <c r="D2010" s="1" t="s">
        <v>1144</v>
      </c>
      <c r="E2010">
        <v>10</v>
      </c>
    </row>
    <row r="2011" spans="1:5" x14ac:dyDescent="0.2">
      <c r="A2011">
        <v>10014354</v>
      </c>
      <c r="B2011">
        <v>26228185</v>
      </c>
      <c r="C2011">
        <v>20</v>
      </c>
      <c r="D2011" s="1" t="s">
        <v>309</v>
      </c>
      <c r="E2011">
        <v>10</v>
      </c>
    </row>
    <row r="2012" spans="1:5" x14ac:dyDescent="0.2">
      <c r="A2012">
        <v>10014354</v>
      </c>
      <c r="B2012">
        <v>26228185</v>
      </c>
      <c r="C2012">
        <v>5</v>
      </c>
      <c r="D2012" s="1" t="s">
        <v>1072</v>
      </c>
      <c r="E2012">
        <v>10</v>
      </c>
    </row>
    <row r="2013" spans="1:5" x14ac:dyDescent="0.2">
      <c r="A2013">
        <v>10014354</v>
      </c>
      <c r="B2013">
        <v>26228185</v>
      </c>
      <c r="C2013">
        <v>21</v>
      </c>
      <c r="D2013" s="1" t="s">
        <v>987</v>
      </c>
      <c r="E2013">
        <v>10</v>
      </c>
    </row>
    <row r="2014" spans="1:5" x14ac:dyDescent="0.2">
      <c r="A2014">
        <v>10014354</v>
      </c>
      <c r="B2014">
        <v>26228185</v>
      </c>
      <c r="C2014">
        <v>12</v>
      </c>
      <c r="D2014" s="1" t="s">
        <v>329</v>
      </c>
      <c r="E2014">
        <v>10</v>
      </c>
    </row>
    <row r="2015" spans="1:5" x14ac:dyDescent="0.2">
      <c r="A2015">
        <v>10014354</v>
      </c>
      <c r="B2015">
        <v>26228185</v>
      </c>
      <c r="C2015">
        <v>22</v>
      </c>
      <c r="D2015" s="1" t="s">
        <v>1070</v>
      </c>
      <c r="E2015">
        <v>10</v>
      </c>
    </row>
    <row r="2016" spans="1:5" x14ac:dyDescent="0.2">
      <c r="A2016">
        <v>10014354</v>
      </c>
      <c r="B2016">
        <v>26228185</v>
      </c>
      <c r="C2016">
        <v>30</v>
      </c>
      <c r="D2016" s="1" t="s">
        <v>893</v>
      </c>
      <c r="E2016">
        <v>10</v>
      </c>
    </row>
    <row r="2017" spans="1:5" x14ac:dyDescent="0.2">
      <c r="A2017">
        <v>10014354</v>
      </c>
      <c r="B2017">
        <v>26228185</v>
      </c>
      <c r="C2017">
        <v>32</v>
      </c>
      <c r="D2017" s="1" t="s">
        <v>1145</v>
      </c>
      <c r="E2017">
        <v>10</v>
      </c>
    </row>
    <row r="2018" spans="1:5" x14ac:dyDescent="0.2">
      <c r="A2018">
        <v>10014354</v>
      </c>
      <c r="B2018">
        <v>26228185</v>
      </c>
      <c r="C2018">
        <v>4</v>
      </c>
      <c r="D2018" s="1" t="s">
        <v>1146</v>
      </c>
      <c r="E2018">
        <v>10</v>
      </c>
    </row>
    <row r="2019" spans="1:5" x14ac:dyDescent="0.2">
      <c r="A2019">
        <v>10014354</v>
      </c>
      <c r="B2019">
        <v>26228185</v>
      </c>
      <c r="C2019">
        <v>15</v>
      </c>
      <c r="D2019" s="1" t="s">
        <v>560</v>
      </c>
      <c r="E2019">
        <v>10</v>
      </c>
    </row>
    <row r="2020" spans="1:5" x14ac:dyDescent="0.2">
      <c r="A2020">
        <v>10014354</v>
      </c>
      <c r="B2020">
        <v>26228185</v>
      </c>
      <c r="C2020">
        <v>3</v>
      </c>
      <c r="D2020" s="1" t="s">
        <v>1074</v>
      </c>
      <c r="E2020">
        <v>10</v>
      </c>
    </row>
    <row r="2021" spans="1:5" x14ac:dyDescent="0.2">
      <c r="A2021">
        <v>10014354</v>
      </c>
      <c r="B2021">
        <v>26228185</v>
      </c>
      <c r="C2021">
        <v>17</v>
      </c>
      <c r="D2021" s="1" t="s">
        <v>1077</v>
      </c>
      <c r="E2021">
        <v>10</v>
      </c>
    </row>
    <row r="2022" spans="1:5" x14ac:dyDescent="0.2">
      <c r="A2022">
        <v>10014354</v>
      </c>
      <c r="B2022">
        <v>26228185</v>
      </c>
      <c r="C2022">
        <v>34</v>
      </c>
      <c r="D2022" s="1" t="s">
        <v>1085</v>
      </c>
      <c r="E2022">
        <v>10</v>
      </c>
    </row>
    <row r="2023" spans="1:5" x14ac:dyDescent="0.2">
      <c r="A2023">
        <v>10014354</v>
      </c>
      <c r="B2023">
        <v>26228185</v>
      </c>
      <c r="C2023">
        <v>10</v>
      </c>
      <c r="D2023" s="1" t="s">
        <v>761</v>
      </c>
      <c r="E2023">
        <v>10</v>
      </c>
    </row>
    <row r="2024" spans="1:5" x14ac:dyDescent="0.2">
      <c r="A2024">
        <v>10014354</v>
      </c>
      <c r="B2024">
        <v>26228185</v>
      </c>
      <c r="C2024">
        <v>26</v>
      </c>
      <c r="D2024" s="1" t="s">
        <v>904</v>
      </c>
      <c r="E2024">
        <v>10</v>
      </c>
    </row>
    <row r="2025" spans="1:5" x14ac:dyDescent="0.2">
      <c r="A2025">
        <v>10014354</v>
      </c>
      <c r="B2025">
        <v>26228185</v>
      </c>
      <c r="C2025">
        <v>24</v>
      </c>
      <c r="D2025" s="1" t="s">
        <v>1102</v>
      </c>
      <c r="E2025">
        <v>10</v>
      </c>
    </row>
    <row r="2026" spans="1:5" x14ac:dyDescent="0.2">
      <c r="A2026">
        <v>10014354</v>
      </c>
      <c r="B2026">
        <v>26228185</v>
      </c>
      <c r="C2026">
        <v>28</v>
      </c>
      <c r="D2026" s="1" t="s">
        <v>1108</v>
      </c>
      <c r="E2026">
        <v>10</v>
      </c>
    </row>
    <row r="2027" spans="1:5" x14ac:dyDescent="0.2">
      <c r="A2027">
        <v>10014354</v>
      </c>
      <c r="B2027">
        <v>26228185</v>
      </c>
      <c r="C2027">
        <v>25</v>
      </c>
      <c r="D2027" s="1" t="s">
        <v>1139</v>
      </c>
      <c r="E2027">
        <v>10</v>
      </c>
    </row>
    <row r="2028" spans="1:5" x14ac:dyDescent="0.2">
      <c r="A2028">
        <v>10014354</v>
      </c>
      <c r="B2028">
        <v>26228185</v>
      </c>
      <c r="C2028">
        <v>2</v>
      </c>
      <c r="D2028" s="1" t="s">
        <v>617</v>
      </c>
      <c r="E2028">
        <v>10</v>
      </c>
    </row>
    <row r="2029" spans="1:5" x14ac:dyDescent="0.2">
      <c r="A2029">
        <v>10014354</v>
      </c>
      <c r="B2029">
        <v>26228185</v>
      </c>
      <c r="C2029">
        <v>8</v>
      </c>
      <c r="D2029" s="1" t="s">
        <v>996</v>
      </c>
      <c r="E2029">
        <v>10</v>
      </c>
    </row>
    <row r="2030" spans="1:5" x14ac:dyDescent="0.2">
      <c r="A2030">
        <v>10014354</v>
      </c>
      <c r="B2030">
        <v>26228185</v>
      </c>
      <c r="C2030">
        <v>7</v>
      </c>
      <c r="D2030" s="1" t="s">
        <v>477</v>
      </c>
      <c r="E2030">
        <v>10</v>
      </c>
    </row>
    <row r="2031" spans="1:5" x14ac:dyDescent="0.2">
      <c r="A2031">
        <v>10014354</v>
      </c>
      <c r="B2031">
        <v>26228185</v>
      </c>
      <c r="C2031">
        <v>18</v>
      </c>
      <c r="D2031" s="1" t="s">
        <v>379</v>
      </c>
      <c r="E2031">
        <v>10</v>
      </c>
    </row>
    <row r="2032" spans="1:5" x14ac:dyDescent="0.2">
      <c r="A2032">
        <v>10014354</v>
      </c>
      <c r="B2032">
        <v>26228185</v>
      </c>
      <c r="C2032">
        <v>31</v>
      </c>
      <c r="D2032" s="1" t="s">
        <v>1140</v>
      </c>
      <c r="E2032">
        <v>10</v>
      </c>
    </row>
    <row r="2033" spans="1:5" x14ac:dyDescent="0.2">
      <c r="A2033">
        <v>10014354</v>
      </c>
      <c r="B2033">
        <v>26228185</v>
      </c>
      <c r="C2033">
        <v>6</v>
      </c>
      <c r="D2033" s="1" t="s">
        <v>335</v>
      </c>
      <c r="E2033">
        <v>10</v>
      </c>
    </row>
    <row r="2034" spans="1:5" x14ac:dyDescent="0.2">
      <c r="A2034">
        <v>10014354</v>
      </c>
      <c r="B2034">
        <v>26228185</v>
      </c>
      <c r="C2034">
        <v>1</v>
      </c>
      <c r="D2034" s="1" t="s">
        <v>423</v>
      </c>
      <c r="E2034">
        <v>10</v>
      </c>
    </row>
    <row r="2035" spans="1:5" x14ac:dyDescent="0.2">
      <c r="A2035">
        <v>10014354</v>
      </c>
      <c r="B2035">
        <v>26228185</v>
      </c>
      <c r="C2035">
        <v>9</v>
      </c>
      <c r="D2035" s="1" t="s">
        <v>620</v>
      </c>
      <c r="E2035">
        <v>10</v>
      </c>
    </row>
    <row r="2036" spans="1:5" x14ac:dyDescent="0.2">
      <c r="A2036">
        <v>10014354</v>
      </c>
      <c r="B2036">
        <v>26228185</v>
      </c>
      <c r="C2036">
        <v>16</v>
      </c>
      <c r="D2036" s="1" t="s">
        <v>478</v>
      </c>
      <c r="E2036">
        <v>10</v>
      </c>
    </row>
    <row r="2037" spans="1:5" x14ac:dyDescent="0.2">
      <c r="A2037">
        <v>10014354</v>
      </c>
      <c r="B2037">
        <v>26228185</v>
      </c>
      <c r="C2037">
        <v>27</v>
      </c>
      <c r="D2037" s="1" t="s">
        <v>325</v>
      </c>
      <c r="E2037">
        <v>10</v>
      </c>
    </row>
    <row r="2038" spans="1:5" x14ac:dyDescent="0.2">
      <c r="A2038">
        <v>10014354</v>
      </c>
      <c r="B2038">
        <v>26228185</v>
      </c>
      <c r="C2038">
        <v>13</v>
      </c>
      <c r="D2038" s="1" t="s">
        <v>1095</v>
      </c>
      <c r="E2038">
        <v>10</v>
      </c>
    </row>
    <row r="2039" spans="1:5" x14ac:dyDescent="0.2">
      <c r="A2039">
        <v>10014354</v>
      </c>
      <c r="B2039">
        <v>26228185</v>
      </c>
      <c r="C2039">
        <v>19</v>
      </c>
      <c r="D2039" s="1" t="s">
        <v>889</v>
      </c>
      <c r="E2039">
        <v>10</v>
      </c>
    </row>
    <row r="2040" spans="1:5" x14ac:dyDescent="0.2">
      <c r="A2040">
        <v>10014354</v>
      </c>
      <c r="B2040">
        <v>26228185</v>
      </c>
      <c r="C2040">
        <v>33</v>
      </c>
      <c r="D2040" s="1" t="s">
        <v>1029</v>
      </c>
      <c r="E2040">
        <v>10</v>
      </c>
    </row>
    <row r="2041" spans="1:5" x14ac:dyDescent="0.2">
      <c r="A2041">
        <v>10014354</v>
      </c>
      <c r="B2041">
        <v>26228185</v>
      </c>
      <c r="C2041">
        <v>29</v>
      </c>
      <c r="D2041" s="1" t="s">
        <v>1147</v>
      </c>
      <c r="E2041">
        <v>10</v>
      </c>
    </row>
    <row r="2042" spans="1:5" x14ac:dyDescent="0.2">
      <c r="A2042">
        <v>10014354</v>
      </c>
      <c r="B2042">
        <v>26228185</v>
      </c>
      <c r="C2042">
        <v>14</v>
      </c>
      <c r="D2042" s="1" t="s">
        <v>1079</v>
      </c>
      <c r="E2042">
        <v>10</v>
      </c>
    </row>
    <row r="2043" spans="1:5" x14ac:dyDescent="0.2">
      <c r="A2043">
        <v>10014354</v>
      </c>
      <c r="B2043">
        <v>26228185</v>
      </c>
      <c r="C2043">
        <v>11</v>
      </c>
      <c r="D2043" s="1" t="s">
        <v>446</v>
      </c>
      <c r="E2043">
        <v>10</v>
      </c>
    </row>
    <row r="2044" spans="1:5" x14ac:dyDescent="0.2">
      <c r="A2044">
        <v>10014354</v>
      </c>
      <c r="B2044">
        <v>26228185</v>
      </c>
      <c r="C2044">
        <v>23</v>
      </c>
      <c r="D2044" s="1" t="s">
        <v>1119</v>
      </c>
      <c r="E2044">
        <v>10</v>
      </c>
    </row>
    <row r="2045" spans="1:5" x14ac:dyDescent="0.2">
      <c r="A2045">
        <v>10014354</v>
      </c>
      <c r="B2045">
        <v>27494880</v>
      </c>
      <c r="C2045">
        <v>5</v>
      </c>
      <c r="D2045" s="1" t="s">
        <v>380</v>
      </c>
      <c r="E2045">
        <v>10</v>
      </c>
    </row>
    <row r="2046" spans="1:5" x14ac:dyDescent="0.2">
      <c r="A2046">
        <v>10014354</v>
      </c>
      <c r="B2046">
        <v>27494880</v>
      </c>
      <c r="C2046">
        <v>15</v>
      </c>
      <c r="D2046" s="1" t="s">
        <v>1079</v>
      </c>
      <c r="E2046">
        <v>10</v>
      </c>
    </row>
    <row r="2047" spans="1:5" x14ac:dyDescent="0.2">
      <c r="A2047">
        <v>10014354</v>
      </c>
      <c r="B2047">
        <v>27494880</v>
      </c>
      <c r="C2047">
        <v>17</v>
      </c>
      <c r="D2047" s="1" t="s">
        <v>1072</v>
      </c>
      <c r="E2047">
        <v>10</v>
      </c>
    </row>
    <row r="2048" spans="1:5" x14ac:dyDescent="0.2">
      <c r="A2048">
        <v>10014354</v>
      </c>
      <c r="B2048">
        <v>27494880</v>
      </c>
      <c r="C2048">
        <v>8</v>
      </c>
      <c r="D2048" s="1" t="s">
        <v>328</v>
      </c>
      <c r="E2048">
        <v>10</v>
      </c>
    </row>
    <row r="2049" spans="1:5" x14ac:dyDescent="0.2">
      <c r="A2049">
        <v>10014354</v>
      </c>
      <c r="B2049">
        <v>27494880</v>
      </c>
      <c r="C2049">
        <v>13</v>
      </c>
      <c r="D2049" s="1" t="s">
        <v>1148</v>
      </c>
      <c r="E2049">
        <v>10</v>
      </c>
    </row>
    <row r="2050" spans="1:5" x14ac:dyDescent="0.2">
      <c r="A2050">
        <v>10014354</v>
      </c>
      <c r="B2050">
        <v>27494880</v>
      </c>
      <c r="C2050">
        <v>6</v>
      </c>
      <c r="D2050" s="1" t="s">
        <v>329</v>
      </c>
      <c r="E2050">
        <v>10</v>
      </c>
    </row>
    <row r="2051" spans="1:5" x14ac:dyDescent="0.2">
      <c r="A2051">
        <v>10014354</v>
      </c>
      <c r="B2051">
        <v>27494880</v>
      </c>
      <c r="C2051">
        <v>7</v>
      </c>
      <c r="D2051" s="1" t="s">
        <v>1074</v>
      </c>
      <c r="E2051">
        <v>10</v>
      </c>
    </row>
    <row r="2052" spans="1:5" x14ac:dyDescent="0.2">
      <c r="A2052">
        <v>10014354</v>
      </c>
      <c r="B2052">
        <v>27494880</v>
      </c>
      <c r="C2052">
        <v>2</v>
      </c>
      <c r="D2052" s="1" t="s">
        <v>335</v>
      </c>
      <c r="E2052">
        <v>10</v>
      </c>
    </row>
    <row r="2053" spans="1:5" x14ac:dyDescent="0.2">
      <c r="A2053">
        <v>10014354</v>
      </c>
      <c r="B2053">
        <v>27494880</v>
      </c>
      <c r="C2053">
        <v>12</v>
      </c>
      <c r="D2053" s="1" t="s">
        <v>1070</v>
      </c>
      <c r="E2053">
        <v>10</v>
      </c>
    </row>
    <row r="2054" spans="1:5" x14ac:dyDescent="0.2">
      <c r="A2054">
        <v>10014354</v>
      </c>
      <c r="B2054">
        <v>27494880</v>
      </c>
      <c r="C2054">
        <v>3</v>
      </c>
      <c r="D2054" s="1" t="s">
        <v>379</v>
      </c>
      <c r="E2054">
        <v>10</v>
      </c>
    </row>
    <row r="2055" spans="1:5" x14ac:dyDescent="0.2">
      <c r="A2055">
        <v>10014354</v>
      </c>
      <c r="B2055">
        <v>27494880</v>
      </c>
      <c r="C2055">
        <v>4</v>
      </c>
      <c r="D2055" s="1" t="s">
        <v>477</v>
      </c>
      <c r="E2055">
        <v>10</v>
      </c>
    </row>
    <row r="2056" spans="1:5" x14ac:dyDescent="0.2">
      <c r="A2056">
        <v>10014354</v>
      </c>
      <c r="B2056">
        <v>27494880</v>
      </c>
      <c r="C2056">
        <v>11</v>
      </c>
      <c r="D2056" s="1" t="s">
        <v>560</v>
      </c>
      <c r="E2056">
        <v>10</v>
      </c>
    </row>
    <row r="2057" spans="1:5" x14ac:dyDescent="0.2">
      <c r="A2057">
        <v>10014354</v>
      </c>
      <c r="B2057">
        <v>27494880</v>
      </c>
      <c r="C2057">
        <v>14</v>
      </c>
      <c r="D2057" s="1" t="s">
        <v>1149</v>
      </c>
      <c r="E2057">
        <v>10</v>
      </c>
    </row>
    <row r="2058" spans="1:5" x14ac:dyDescent="0.2">
      <c r="A2058">
        <v>10014354</v>
      </c>
      <c r="B2058">
        <v>27494880</v>
      </c>
      <c r="C2058">
        <v>16</v>
      </c>
      <c r="D2058" s="1" t="s">
        <v>1066</v>
      </c>
      <c r="E2058">
        <v>10</v>
      </c>
    </row>
    <row r="2059" spans="1:5" x14ac:dyDescent="0.2">
      <c r="A2059">
        <v>10014354</v>
      </c>
      <c r="B2059">
        <v>27494880</v>
      </c>
      <c r="C2059">
        <v>10</v>
      </c>
      <c r="D2059" s="1" t="s">
        <v>324</v>
      </c>
      <c r="E2059">
        <v>10</v>
      </c>
    </row>
    <row r="2060" spans="1:5" x14ac:dyDescent="0.2">
      <c r="A2060">
        <v>10014354</v>
      </c>
      <c r="B2060">
        <v>27494880</v>
      </c>
      <c r="C2060">
        <v>1</v>
      </c>
      <c r="D2060" s="1" t="s">
        <v>1106</v>
      </c>
      <c r="E2060">
        <v>10</v>
      </c>
    </row>
    <row r="2061" spans="1:5" x14ac:dyDescent="0.2">
      <c r="A2061">
        <v>10014354</v>
      </c>
      <c r="B2061">
        <v>27494880</v>
      </c>
      <c r="C2061">
        <v>9</v>
      </c>
      <c r="D2061" s="1" t="s">
        <v>620</v>
      </c>
      <c r="E2061">
        <v>10</v>
      </c>
    </row>
    <row r="2062" spans="1:5" x14ac:dyDescent="0.2">
      <c r="A2062">
        <v>10014354</v>
      </c>
      <c r="B2062">
        <v>22508257</v>
      </c>
      <c r="C2062">
        <v>17</v>
      </c>
      <c r="D2062" s="1" t="s">
        <v>1071</v>
      </c>
      <c r="E2062">
        <v>10</v>
      </c>
    </row>
    <row r="2063" spans="1:5" x14ac:dyDescent="0.2">
      <c r="A2063">
        <v>10014354</v>
      </c>
      <c r="B2063">
        <v>22508257</v>
      </c>
      <c r="C2063">
        <v>20</v>
      </c>
      <c r="D2063" s="1" t="s">
        <v>478</v>
      </c>
      <c r="E2063">
        <v>10</v>
      </c>
    </row>
    <row r="2064" spans="1:5" x14ac:dyDescent="0.2">
      <c r="A2064">
        <v>10014354</v>
      </c>
      <c r="B2064">
        <v>22508257</v>
      </c>
      <c r="C2064">
        <v>16</v>
      </c>
      <c r="D2064" s="1" t="s">
        <v>560</v>
      </c>
      <c r="E2064">
        <v>10</v>
      </c>
    </row>
    <row r="2065" spans="1:5" x14ac:dyDescent="0.2">
      <c r="A2065">
        <v>10014354</v>
      </c>
      <c r="B2065">
        <v>22508257</v>
      </c>
      <c r="C2065">
        <v>28</v>
      </c>
      <c r="D2065" s="1" t="s">
        <v>521</v>
      </c>
      <c r="E2065">
        <v>10</v>
      </c>
    </row>
    <row r="2066" spans="1:5" x14ac:dyDescent="0.2">
      <c r="A2066">
        <v>10014354</v>
      </c>
      <c r="B2066">
        <v>22508257</v>
      </c>
      <c r="C2066">
        <v>8</v>
      </c>
      <c r="D2066" s="1" t="s">
        <v>1076</v>
      </c>
      <c r="E2066">
        <v>10</v>
      </c>
    </row>
    <row r="2067" spans="1:5" x14ac:dyDescent="0.2">
      <c r="A2067">
        <v>10014354</v>
      </c>
      <c r="B2067">
        <v>22508257</v>
      </c>
      <c r="C2067">
        <v>13</v>
      </c>
      <c r="D2067" s="1" t="s">
        <v>1150</v>
      </c>
      <c r="E2067">
        <v>10</v>
      </c>
    </row>
    <row r="2068" spans="1:5" x14ac:dyDescent="0.2">
      <c r="A2068">
        <v>10014354</v>
      </c>
      <c r="B2068">
        <v>22508257</v>
      </c>
      <c r="C2068">
        <v>14</v>
      </c>
      <c r="D2068" s="1" t="s">
        <v>1077</v>
      </c>
      <c r="E2068">
        <v>10</v>
      </c>
    </row>
    <row r="2069" spans="1:5" x14ac:dyDescent="0.2">
      <c r="A2069">
        <v>10014354</v>
      </c>
      <c r="B2069">
        <v>22508257</v>
      </c>
      <c r="C2069">
        <v>1</v>
      </c>
      <c r="D2069" s="1" t="s">
        <v>1151</v>
      </c>
      <c r="E2069">
        <v>10</v>
      </c>
    </row>
    <row r="2070" spans="1:5" x14ac:dyDescent="0.2">
      <c r="A2070">
        <v>10014354</v>
      </c>
      <c r="B2070">
        <v>22508257</v>
      </c>
      <c r="C2070">
        <v>9</v>
      </c>
      <c r="D2070" s="1" t="s">
        <v>335</v>
      </c>
      <c r="E2070">
        <v>10</v>
      </c>
    </row>
    <row r="2071" spans="1:5" x14ac:dyDescent="0.2">
      <c r="A2071">
        <v>10014354</v>
      </c>
      <c r="B2071">
        <v>22508257</v>
      </c>
      <c r="C2071">
        <v>7</v>
      </c>
      <c r="D2071" s="1" t="s">
        <v>429</v>
      </c>
      <c r="E2071">
        <v>10</v>
      </c>
    </row>
    <row r="2072" spans="1:5" x14ac:dyDescent="0.2">
      <c r="A2072">
        <v>10014354</v>
      </c>
      <c r="B2072">
        <v>22508257</v>
      </c>
      <c r="C2072">
        <v>3</v>
      </c>
      <c r="D2072" s="1" t="s">
        <v>1074</v>
      </c>
      <c r="E2072">
        <v>10</v>
      </c>
    </row>
    <row r="2073" spans="1:5" x14ac:dyDescent="0.2">
      <c r="A2073">
        <v>10014354</v>
      </c>
      <c r="B2073">
        <v>22508257</v>
      </c>
      <c r="C2073">
        <v>12</v>
      </c>
      <c r="D2073" s="1" t="s">
        <v>1152</v>
      </c>
      <c r="E2073">
        <v>10</v>
      </c>
    </row>
    <row r="2074" spans="1:5" x14ac:dyDescent="0.2">
      <c r="A2074">
        <v>10014354</v>
      </c>
      <c r="B2074">
        <v>22508257</v>
      </c>
      <c r="C2074">
        <v>24</v>
      </c>
      <c r="D2074" s="1" t="s">
        <v>1153</v>
      </c>
      <c r="E2074">
        <v>10</v>
      </c>
    </row>
    <row r="2075" spans="1:5" x14ac:dyDescent="0.2">
      <c r="A2075">
        <v>10014354</v>
      </c>
      <c r="B2075">
        <v>22508257</v>
      </c>
      <c r="C2075">
        <v>5</v>
      </c>
      <c r="D2075" s="1" t="s">
        <v>1123</v>
      </c>
      <c r="E2075">
        <v>10</v>
      </c>
    </row>
    <row r="2076" spans="1:5" x14ac:dyDescent="0.2">
      <c r="A2076">
        <v>10014354</v>
      </c>
      <c r="B2076">
        <v>22508257</v>
      </c>
      <c r="C2076">
        <v>15</v>
      </c>
      <c r="D2076" s="1" t="s">
        <v>1079</v>
      </c>
      <c r="E2076">
        <v>10</v>
      </c>
    </row>
    <row r="2077" spans="1:5" x14ac:dyDescent="0.2">
      <c r="A2077">
        <v>10014354</v>
      </c>
      <c r="B2077">
        <v>22508257</v>
      </c>
      <c r="C2077">
        <v>10</v>
      </c>
      <c r="D2077" s="1" t="s">
        <v>1072</v>
      </c>
      <c r="E2077">
        <v>10</v>
      </c>
    </row>
    <row r="2078" spans="1:5" x14ac:dyDescent="0.2">
      <c r="A2078">
        <v>10014354</v>
      </c>
      <c r="B2078">
        <v>22508257</v>
      </c>
      <c r="C2078">
        <v>4</v>
      </c>
      <c r="D2078" s="1" t="s">
        <v>1083</v>
      </c>
      <c r="E2078">
        <v>10</v>
      </c>
    </row>
    <row r="2079" spans="1:5" x14ac:dyDescent="0.2">
      <c r="A2079">
        <v>10014354</v>
      </c>
      <c r="B2079">
        <v>22508257</v>
      </c>
      <c r="C2079">
        <v>21</v>
      </c>
      <c r="D2079" s="1" t="s">
        <v>1154</v>
      </c>
      <c r="E2079">
        <v>10</v>
      </c>
    </row>
    <row r="2080" spans="1:5" x14ac:dyDescent="0.2">
      <c r="A2080">
        <v>10014354</v>
      </c>
      <c r="B2080">
        <v>22508257</v>
      </c>
      <c r="C2080">
        <v>25</v>
      </c>
      <c r="D2080" s="1" t="s">
        <v>621</v>
      </c>
      <c r="E2080">
        <v>10</v>
      </c>
    </row>
    <row r="2081" spans="1:5" x14ac:dyDescent="0.2">
      <c r="A2081">
        <v>10014354</v>
      </c>
      <c r="B2081">
        <v>22508257</v>
      </c>
      <c r="C2081">
        <v>27</v>
      </c>
      <c r="D2081" s="1" t="s">
        <v>378</v>
      </c>
      <c r="E2081">
        <v>10</v>
      </c>
    </row>
    <row r="2082" spans="1:5" x14ac:dyDescent="0.2">
      <c r="A2082">
        <v>10014354</v>
      </c>
      <c r="B2082">
        <v>22508257</v>
      </c>
      <c r="C2082">
        <v>26</v>
      </c>
      <c r="D2082" s="1" t="s">
        <v>1155</v>
      </c>
      <c r="E2082">
        <v>10</v>
      </c>
    </row>
    <row r="2083" spans="1:5" x14ac:dyDescent="0.2">
      <c r="A2083">
        <v>10014354</v>
      </c>
      <c r="B2083">
        <v>22508257</v>
      </c>
      <c r="C2083">
        <v>18</v>
      </c>
      <c r="D2083" s="1" t="s">
        <v>1108</v>
      </c>
      <c r="E2083">
        <v>10</v>
      </c>
    </row>
    <row r="2084" spans="1:5" x14ac:dyDescent="0.2">
      <c r="A2084">
        <v>10014354</v>
      </c>
      <c r="B2084">
        <v>22508257</v>
      </c>
      <c r="C2084">
        <v>22</v>
      </c>
      <c r="D2084" s="1" t="s">
        <v>1156</v>
      </c>
      <c r="E2084">
        <v>10</v>
      </c>
    </row>
    <row r="2085" spans="1:5" x14ac:dyDescent="0.2">
      <c r="A2085">
        <v>10014354</v>
      </c>
      <c r="B2085">
        <v>22508257</v>
      </c>
      <c r="C2085">
        <v>19</v>
      </c>
      <c r="D2085" s="1" t="s">
        <v>1070</v>
      </c>
      <c r="E2085">
        <v>10</v>
      </c>
    </row>
    <row r="2086" spans="1:5" x14ac:dyDescent="0.2">
      <c r="A2086">
        <v>10014354</v>
      </c>
      <c r="B2086">
        <v>22508257</v>
      </c>
      <c r="C2086">
        <v>11</v>
      </c>
      <c r="D2086" s="1" t="s">
        <v>446</v>
      </c>
      <c r="E2086">
        <v>10</v>
      </c>
    </row>
    <row r="2087" spans="1:5" x14ac:dyDescent="0.2">
      <c r="A2087">
        <v>10014354</v>
      </c>
      <c r="B2087">
        <v>22508257</v>
      </c>
      <c r="C2087">
        <v>6</v>
      </c>
      <c r="D2087" s="1" t="s">
        <v>1157</v>
      </c>
      <c r="E2087">
        <v>10</v>
      </c>
    </row>
    <row r="2088" spans="1:5" x14ac:dyDescent="0.2">
      <c r="A2088">
        <v>10014354</v>
      </c>
      <c r="B2088">
        <v>22508257</v>
      </c>
      <c r="C2088">
        <v>23</v>
      </c>
      <c r="D2088" s="1" t="s">
        <v>889</v>
      </c>
      <c r="E2088">
        <v>10</v>
      </c>
    </row>
    <row r="2089" spans="1:5" x14ac:dyDescent="0.2">
      <c r="A2089">
        <v>10014354</v>
      </c>
      <c r="B2089">
        <v>22508257</v>
      </c>
      <c r="C2089">
        <v>2</v>
      </c>
      <c r="D2089" s="1" t="s">
        <v>334</v>
      </c>
      <c r="E2089">
        <v>10</v>
      </c>
    </row>
    <row r="2090" spans="1:5" x14ac:dyDescent="0.2">
      <c r="A2090">
        <v>10014354</v>
      </c>
      <c r="B2090">
        <v>22741225</v>
      </c>
      <c r="C2090">
        <v>2</v>
      </c>
      <c r="D2090" s="1" t="s">
        <v>1074</v>
      </c>
      <c r="E2090">
        <v>10</v>
      </c>
    </row>
    <row r="2091" spans="1:5" x14ac:dyDescent="0.2">
      <c r="A2091">
        <v>10014354</v>
      </c>
      <c r="B2091">
        <v>22741225</v>
      </c>
      <c r="C2091">
        <v>7</v>
      </c>
      <c r="D2091" s="1" t="s">
        <v>885</v>
      </c>
      <c r="E2091">
        <v>10</v>
      </c>
    </row>
    <row r="2092" spans="1:5" x14ac:dyDescent="0.2">
      <c r="A2092">
        <v>10014354</v>
      </c>
      <c r="B2092">
        <v>22741225</v>
      </c>
      <c r="C2092">
        <v>9</v>
      </c>
      <c r="D2092" s="1" t="s">
        <v>558</v>
      </c>
      <c r="E2092">
        <v>10</v>
      </c>
    </row>
    <row r="2093" spans="1:5" x14ac:dyDescent="0.2">
      <c r="A2093">
        <v>10014354</v>
      </c>
      <c r="B2093">
        <v>22741225</v>
      </c>
      <c r="C2093">
        <v>13</v>
      </c>
      <c r="D2093" s="1" t="s">
        <v>1072</v>
      </c>
      <c r="E2093">
        <v>10</v>
      </c>
    </row>
    <row r="2094" spans="1:5" x14ac:dyDescent="0.2">
      <c r="A2094">
        <v>10014354</v>
      </c>
      <c r="B2094">
        <v>22741225</v>
      </c>
      <c r="C2094">
        <v>6</v>
      </c>
      <c r="D2094" s="1" t="s">
        <v>379</v>
      </c>
      <c r="E2094">
        <v>10</v>
      </c>
    </row>
    <row r="2095" spans="1:5" x14ac:dyDescent="0.2">
      <c r="A2095">
        <v>10014354</v>
      </c>
      <c r="B2095">
        <v>22741225</v>
      </c>
      <c r="C2095">
        <v>14</v>
      </c>
      <c r="D2095" s="1" t="s">
        <v>1077</v>
      </c>
      <c r="E2095">
        <v>10</v>
      </c>
    </row>
    <row r="2096" spans="1:5" x14ac:dyDescent="0.2">
      <c r="A2096">
        <v>10014354</v>
      </c>
      <c r="B2096">
        <v>22741225</v>
      </c>
      <c r="C2096">
        <v>12</v>
      </c>
      <c r="D2096" s="1" t="s">
        <v>560</v>
      </c>
      <c r="E2096">
        <v>10</v>
      </c>
    </row>
    <row r="2097" spans="1:5" x14ac:dyDescent="0.2">
      <c r="A2097">
        <v>10014354</v>
      </c>
      <c r="B2097">
        <v>22741225</v>
      </c>
      <c r="C2097">
        <v>1</v>
      </c>
      <c r="D2097" s="1" t="s">
        <v>1146</v>
      </c>
      <c r="E2097">
        <v>10</v>
      </c>
    </row>
    <row r="2098" spans="1:5" x14ac:dyDescent="0.2">
      <c r="A2098">
        <v>10014354</v>
      </c>
      <c r="B2098">
        <v>22741225</v>
      </c>
      <c r="C2098">
        <v>11</v>
      </c>
      <c r="D2098" s="1" t="s">
        <v>1070</v>
      </c>
      <c r="E2098">
        <v>10</v>
      </c>
    </row>
    <row r="2099" spans="1:5" x14ac:dyDescent="0.2">
      <c r="A2099">
        <v>10014354</v>
      </c>
      <c r="B2099">
        <v>22741225</v>
      </c>
      <c r="C2099">
        <v>5</v>
      </c>
      <c r="D2099" s="1" t="s">
        <v>329</v>
      </c>
      <c r="E2099">
        <v>10</v>
      </c>
    </row>
    <row r="2100" spans="1:5" x14ac:dyDescent="0.2">
      <c r="A2100">
        <v>10014354</v>
      </c>
      <c r="B2100">
        <v>22741225</v>
      </c>
      <c r="C2100">
        <v>16</v>
      </c>
      <c r="D2100" s="1" t="s">
        <v>1158</v>
      </c>
      <c r="E2100">
        <v>10</v>
      </c>
    </row>
    <row r="2101" spans="1:5" x14ac:dyDescent="0.2">
      <c r="A2101">
        <v>10014354</v>
      </c>
      <c r="B2101">
        <v>22741225</v>
      </c>
      <c r="C2101">
        <v>10</v>
      </c>
      <c r="D2101" s="1" t="s">
        <v>1095</v>
      </c>
      <c r="E2101">
        <v>10</v>
      </c>
    </row>
    <row r="2102" spans="1:5" x14ac:dyDescent="0.2">
      <c r="A2102">
        <v>10014354</v>
      </c>
      <c r="B2102">
        <v>22741225</v>
      </c>
      <c r="C2102">
        <v>8</v>
      </c>
      <c r="D2102" s="1" t="s">
        <v>1159</v>
      </c>
      <c r="E2102">
        <v>10</v>
      </c>
    </row>
    <row r="2103" spans="1:5" x14ac:dyDescent="0.2">
      <c r="A2103">
        <v>10014354</v>
      </c>
      <c r="B2103">
        <v>22741225</v>
      </c>
      <c r="C2103">
        <v>3</v>
      </c>
      <c r="D2103" s="1" t="s">
        <v>1160</v>
      </c>
      <c r="E2103">
        <v>10</v>
      </c>
    </row>
    <row r="2104" spans="1:5" x14ac:dyDescent="0.2">
      <c r="A2104">
        <v>10014354</v>
      </c>
      <c r="B2104">
        <v>22741225</v>
      </c>
      <c r="C2104">
        <v>15</v>
      </c>
      <c r="D2104" s="1" t="s">
        <v>1071</v>
      </c>
      <c r="E2104">
        <v>10</v>
      </c>
    </row>
    <row r="2105" spans="1:5" x14ac:dyDescent="0.2">
      <c r="A2105">
        <v>10014354</v>
      </c>
      <c r="B2105">
        <v>22741225</v>
      </c>
      <c r="C2105">
        <v>4</v>
      </c>
      <c r="D2105" s="1" t="s">
        <v>866</v>
      </c>
      <c r="E2105">
        <v>10</v>
      </c>
    </row>
    <row r="2106" spans="1:5" x14ac:dyDescent="0.2">
      <c r="A2106">
        <v>10014354</v>
      </c>
      <c r="B2106">
        <v>24357615</v>
      </c>
      <c r="C2106">
        <v>9</v>
      </c>
      <c r="D2106" s="1" t="s">
        <v>761</v>
      </c>
      <c r="E2106">
        <v>10</v>
      </c>
    </row>
    <row r="2107" spans="1:5" x14ac:dyDescent="0.2">
      <c r="A2107">
        <v>10014354</v>
      </c>
      <c r="B2107">
        <v>24357615</v>
      </c>
      <c r="C2107">
        <v>12</v>
      </c>
      <c r="D2107" s="1" t="s">
        <v>1102</v>
      </c>
      <c r="E2107">
        <v>10</v>
      </c>
    </row>
    <row r="2108" spans="1:5" x14ac:dyDescent="0.2">
      <c r="A2108">
        <v>10014354</v>
      </c>
      <c r="B2108">
        <v>24357615</v>
      </c>
      <c r="C2108">
        <v>15</v>
      </c>
      <c r="D2108" s="1" t="s">
        <v>620</v>
      </c>
      <c r="E2108">
        <v>10</v>
      </c>
    </row>
    <row r="2109" spans="1:5" x14ac:dyDescent="0.2">
      <c r="A2109">
        <v>10014354</v>
      </c>
      <c r="B2109">
        <v>24357615</v>
      </c>
      <c r="C2109">
        <v>7</v>
      </c>
      <c r="D2109" s="1" t="s">
        <v>309</v>
      </c>
      <c r="E2109">
        <v>10</v>
      </c>
    </row>
    <row r="2110" spans="1:5" x14ac:dyDescent="0.2">
      <c r="A2110">
        <v>10014354</v>
      </c>
      <c r="B2110">
        <v>24357615</v>
      </c>
      <c r="C2110">
        <v>8</v>
      </c>
      <c r="D2110" s="1" t="s">
        <v>560</v>
      </c>
      <c r="E2110">
        <v>10</v>
      </c>
    </row>
    <row r="2111" spans="1:5" x14ac:dyDescent="0.2">
      <c r="A2111">
        <v>10014354</v>
      </c>
      <c r="B2111">
        <v>24357615</v>
      </c>
      <c r="C2111">
        <v>20</v>
      </c>
      <c r="D2111" s="1" t="s">
        <v>1161</v>
      </c>
      <c r="E2111">
        <v>10</v>
      </c>
    </row>
    <row r="2112" spans="1:5" x14ac:dyDescent="0.2">
      <c r="A2112">
        <v>10014354</v>
      </c>
      <c r="B2112">
        <v>24357615</v>
      </c>
      <c r="C2112">
        <v>24</v>
      </c>
      <c r="D2112" s="1" t="s">
        <v>1126</v>
      </c>
      <c r="E2112">
        <v>10</v>
      </c>
    </row>
    <row r="2113" spans="1:5" x14ac:dyDescent="0.2">
      <c r="A2113">
        <v>10014354</v>
      </c>
      <c r="B2113">
        <v>24357615</v>
      </c>
      <c r="C2113">
        <v>2</v>
      </c>
      <c r="D2113" s="1" t="s">
        <v>1074</v>
      </c>
      <c r="E2113">
        <v>10</v>
      </c>
    </row>
    <row r="2114" spans="1:5" x14ac:dyDescent="0.2">
      <c r="A2114">
        <v>10014354</v>
      </c>
      <c r="B2114">
        <v>24357615</v>
      </c>
      <c r="C2114">
        <v>25</v>
      </c>
      <c r="D2114" s="1" t="s">
        <v>1080</v>
      </c>
      <c r="E2114">
        <v>10</v>
      </c>
    </row>
    <row r="2115" spans="1:5" x14ac:dyDescent="0.2">
      <c r="A2115">
        <v>10014354</v>
      </c>
      <c r="B2115">
        <v>24357615</v>
      </c>
      <c r="C2115">
        <v>4</v>
      </c>
      <c r="D2115" s="1" t="s">
        <v>1099</v>
      </c>
      <c r="E2115">
        <v>10</v>
      </c>
    </row>
    <row r="2116" spans="1:5" x14ac:dyDescent="0.2">
      <c r="A2116">
        <v>10014354</v>
      </c>
      <c r="B2116">
        <v>24357615</v>
      </c>
      <c r="C2116">
        <v>26</v>
      </c>
      <c r="D2116" s="1" t="s">
        <v>477</v>
      </c>
      <c r="E2116">
        <v>10</v>
      </c>
    </row>
    <row r="2117" spans="1:5" x14ac:dyDescent="0.2">
      <c r="A2117">
        <v>10014354</v>
      </c>
      <c r="B2117">
        <v>24357615</v>
      </c>
      <c r="C2117">
        <v>10</v>
      </c>
      <c r="D2117" s="1" t="s">
        <v>446</v>
      </c>
      <c r="E2117">
        <v>10</v>
      </c>
    </row>
    <row r="2118" spans="1:5" x14ac:dyDescent="0.2">
      <c r="A2118">
        <v>10014354</v>
      </c>
      <c r="B2118">
        <v>24357615</v>
      </c>
      <c r="C2118">
        <v>1</v>
      </c>
      <c r="D2118" s="1" t="s">
        <v>1162</v>
      </c>
      <c r="E2118">
        <v>10</v>
      </c>
    </row>
    <row r="2119" spans="1:5" x14ac:dyDescent="0.2">
      <c r="A2119">
        <v>10014354</v>
      </c>
      <c r="B2119">
        <v>24357615</v>
      </c>
      <c r="C2119">
        <v>11</v>
      </c>
      <c r="D2119" s="1" t="s">
        <v>1072</v>
      </c>
      <c r="E2119">
        <v>10</v>
      </c>
    </row>
    <row r="2120" spans="1:5" x14ac:dyDescent="0.2">
      <c r="A2120">
        <v>10014354</v>
      </c>
      <c r="B2120">
        <v>24357615</v>
      </c>
      <c r="C2120">
        <v>5</v>
      </c>
      <c r="D2120" s="1" t="s">
        <v>904</v>
      </c>
      <c r="E2120">
        <v>10</v>
      </c>
    </row>
    <row r="2121" spans="1:5" x14ac:dyDescent="0.2">
      <c r="A2121">
        <v>10014354</v>
      </c>
      <c r="B2121">
        <v>24357615</v>
      </c>
      <c r="C2121">
        <v>6</v>
      </c>
      <c r="D2121" s="1" t="s">
        <v>1119</v>
      </c>
      <c r="E2121">
        <v>10</v>
      </c>
    </row>
    <row r="2122" spans="1:5" x14ac:dyDescent="0.2">
      <c r="A2122">
        <v>10014354</v>
      </c>
      <c r="B2122">
        <v>24357615</v>
      </c>
      <c r="C2122">
        <v>27</v>
      </c>
      <c r="D2122" s="1" t="s">
        <v>1108</v>
      </c>
      <c r="E2122">
        <v>10</v>
      </c>
    </row>
    <row r="2123" spans="1:5" x14ac:dyDescent="0.2">
      <c r="A2123">
        <v>10014354</v>
      </c>
      <c r="B2123">
        <v>24357615</v>
      </c>
      <c r="C2123">
        <v>22</v>
      </c>
      <c r="D2123" s="1" t="s">
        <v>889</v>
      </c>
      <c r="E2123">
        <v>10</v>
      </c>
    </row>
    <row r="2124" spans="1:5" x14ac:dyDescent="0.2">
      <c r="A2124">
        <v>10014354</v>
      </c>
      <c r="B2124">
        <v>24357615</v>
      </c>
      <c r="C2124">
        <v>23</v>
      </c>
      <c r="D2124" s="1" t="s">
        <v>1154</v>
      </c>
      <c r="E2124">
        <v>10</v>
      </c>
    </row>
    <row r="2125" spans="1:5" x14ac:dyDescent="0.2">
      <c r="A2125">
        <v>10014354</v>
      </c>
      <c r="B2125">
        <v>24357615</v>
      </c>
      <c r="C2125">
        <v>28</v>
      </c>
      <c r="D2125" s="1" t="s">
        <v>1077</v>
      </c>
      <c r="E2125">
        <v>10</v>
      </c>
    </row>
    <row r="2126" spans="1:5" x14ac:dyDescent="0.2">
      <c r="A2126">
        <v>10014354</v>
      </c>
      <c r="B2126">
        <v>24357615</v>
      </c>
      <c r="C2126">
        <v>16</v>
      </c>
      <c r="D2126" s="1" t="s">
        <v>335</v>
      </c>
      <c r="E2126">
        <v>10</v>
      </c>
    </row>
    <row r="2127" spans="1:5" x14ac:dyDescent="0.2">
      <c r="A2127">
        <v>10014354</v>
      </c>
      <c r="B2127">
        <v>24357615</v>
      </c>
      <c r="C2127">
        <v>14</v>
      </c>
      <c r="D2127" s="1" t="s">
        <v>996</v>
      </c>
      <c r="E2127">
        <v>10</v>
      </c>
    </row>
    <row r="2128" spans="1:5" x14ac:dyDescent="0.2">
      <c r="A2128">
        <v>10014354</v>
      </c>
      <c r="B2128">
        <v>24357615</v>
      </c>
      <c r="C2128">
        <v>3</v>
      </c>
      <c r="D2128" s="1" t="s">
        <v>1146</v>
      </c>
      <c r="E2128">
        <v>10</v>
      </c>
    </row>
    <row r="2129" spans="1:5" x14ac:dyDescent="0.2">
      <c r="A2129">
        <v>10014354</v>
      </c>
      <c r="B2129">
        <v>24357615</v>
      </c>
      <c r="C2129">
        <v>17</v>
      </c>
      <c r="D2129" s="1" t="s">
        <v>329</v>
      </c>
      <c r="E2129">
        <v>10</v>
      </c>
    </row>
    <row r="2130" spans="1:5" x14ac:dyDescent="0.2">
      <c r="A2130">
        <v>10014354</v>
      </c>
      <c r="B2130">
        <v>24357615</v>
      </c>
      <c r="C2130">
        <v>21</v>
      </c>
      <c r="D2130" s="1" t="s">
        <v>378</v>
      </c>
      <c r="E2130">
        <v>10</v>
      </c>
    </row>
    <row r="2131" spans="1:5" x14ac:dyDescent="0.2">
      <c r="A2131">
        <v>10014354</v>
      </c>
      <c r="B2131">
        <v>24357615</v>
      </c>
      <c r="C2131">
        <v>13</v>
      </c>
      <c r="D2131" s="1" t="s">
        <v>613</v>
      </c>
      <c r="E2131">
        <v>10</v>
      </c>
    </row>
    <row r="2132" spans="1:5" x14ac:dyDescent="0.2">
      <c r="A2132">
        <v>10014354</v>
      </c>
      <c r="B2132">
        <v>24357615</v>
      </c>
      <c r="C2132">
        <v>18</v>
      </c>
      <c r="D2132" s="1" t="s">
        <v>1079</v>
      </c>
      <c r="E2132">
        <v>10</v>
      </c>
    </row>
    <row r="2133" spans="1:5" x14ac:dyDescent="0.2">
      <c r="A2133">
        <v>10014354</v>
      </c>
      <c r="B2133">
        <v>24357615</v>
      </c>
      <c r="C2133">
        <v>19</v>
      </c>
      <c r="D2133" s="1" t="s">
        <v>1163</v>
      </c>
      <c r="E2133">
        <v>10</v>
      </c>
    </row>
    <row r="2134" spans="1:5" x14ac:dyDescent="0.2">
      <c r="A2134">
        <v>10014354</v>
      </c>
      <c r="B2134">
        <v>28335091</v>
      </c>
      <c r="C2134">
        <v>3</v>
      </c>
      <c r="D2134" s="1" t="s">
        <v>328</v>
      </c>
      <c r="E2134">
        <v>10</v>
      </c>
    </row>
    <row r="2135" spans="1:5" x14ac:dyDescent="0.2">
      <c r="A2135">
        <v>10014354</v>
      </c>
      <c r="B2135">
        <v>28335091</v>
      </c>
      <c r="C2135">
        <v>1</v>
      </c>
      <c r="D2135" s="1" t="s">
        <v>520</v>
      </c>
      <c r="E2135">
        <v>10</v>
      </c>
    </row>
    <row r="2136" spans="1:5" x14ac:dyDescent="0.2">
      <c r="A2136">
        <v>10014354</v>
      </c>
      <c r="B2136">
        <v>28335091</v>
      </c>
      <c r="C2136">
        <v>2</v>
      </c>
      <c r="D2136" s="1" t="s">
        <v>1074</v>
      </c>
      <c r="E2136">
        <v>10</v>
      </c>
    </row>
    <row r="2137" spans="1:5" x14ac:dyDescent="0.2">
      <c r="A2137">
        <v>10014354</v>
      </c>
      <c r="B2137">
        <v>28335091</v>
      </c>
      <c r="C2137">
        <v>8</v>
      </c>
      <c r="D2137" s="1" t="s">
        <v>335</v>
      </c>
      <c r="E2137">
        <v>10</v>
      </c>
    </row>
    <row r="2138" spans="1:5" x14ac:dyDescent="0.2">
      <c r="A2138">
        <v>10014354</v>
      </c>
      <c r="B2138">
        <v>28335091</v>
      </c>
      <c r="C2138">
        <v>9</v>
      </c>
      <c r="D2138" s="1" t="s">
        <v>1079</v>
      </c>
      <c r="E2138">
        <v>10</v>
      </c>
    </row>
    <row r="2139" spans="1:5" x14ac:dyDescent="0.2">
      <c r="A2139">
        <v>10014354</v>
      </c>
      <c r="B2139">
        <v>28335091</v>
      </c>
      <c r="C2139">
        <v>11</v>
      </c>
      <c r="D2139" s="1" t="s">
        <v>1164</v>
      </c>
      <c r="E2139">
        <v>10</v>
      </c>
    </row>
    <row r="2140" spans="1:5" x14ac:dyDescent="0.2">
      <c r="A2140">
        <v>10014354</v>
      </c>
      <c r="B2140">
        <v>28335091</v>
      </c>
      <c r="C2140">
        <v>5</v>
      </c>
      <c r="D2140" s="1" t="s">
        <v>329</v>
      </c>
      <c r="E2140">
        <v>10</v>
      </c>
    </row>
    <row r="2141" spans="1:5" x14ac:dyDescent="0.2">
      <c r="A2141">
        <v>10014354</v>
      </c>
      <c r="B2141">
        <v>28335091</v>
      </c>
      <c r="C2141">
        <v>6</v>
      </c>
      <c r="D2141" s="1" t="s">
        <v>1070</v>
      </c>
      <c r="E2141">
        <v>10</v>
      </c>
    </row>
    <row r="2142" spans="1:5" x14ac:dyDescent="0.2">
      <c r="A2142">
        <v>10014354</v>
      </c>
      <c r="B2142">
        <v>28335091</v>
      </c>
      <c r="C2142">
        <v>7</v>
      </c>
      <c r="D2142" s="1" t="s">
        <v>1165</v>
      </c>
      <c r="E2142">
        <v>10</v>
      </c>
    </row>
    <row r="2143" spans="1:5" x14ac:dyDescent="0.2">
      <c r="A2143">
        <v>10014354</v>
      </c>
      <c r="B2143">
        <v>28335091</v>
      </c>
      <c r="C2143">
        <v>4</v>
      </c>
      <c r="D2143" s="1" t="s">
        <v>379</v>
      </c>
      <c r="E2143">
        <v>10</v>
      </c>
    </row>
    <row r="2144" spans="1:5" x14ac:dyDescent="0.2">
      <c r="A2144">
        <v>10014354</v>
      </c>
      <c r="B2144">
        <v>28335091</v>
      </c>
      <c r="C2144">
        <v>10</v>
      </c>
      <c r="D2144" s="1" t="s">
        <v>380</v>
      </c>
      <c r="E2144">
        <v>10</v>
      </c>
    </row>
    <row r="2145" spans="1:5" x14ac:dyDescent="0.2">
      <c r="A2145">
        <v>10014354</v>
      </c>
      <c r="B2145">
        <v>27487226</v>
      </c>
      <c r="C2145">
        <v>8</v>
      </c>
      <c r="D2145" s="1" t="s">
        <v>612</v>
      </c>
      <c r="E2145">
        <v>10</v>
      </c>
    </row>
    <row r="2146" spans="1:5" x14ac:dyDescent="0.2">
      <c r="A2146">
        <v>10014354</v>
      </c>
      <c r="B2146">
        <v>27487226</v>
      </c>
      <c r="C2146">
        <v>5</v>
      </c>
      <c r="D2146" s="1" t="s">
        <v>423</v>
      </c>
      <c r="E2146">
        <v>10</v>
      </c>
    </row>
    <row r="2147" spans="1:5" x14ac:dyDescent="0.2">
      <c r="A2147">
        <v>10014354</v>
      </c>
      <c r="B2147">
        <v>27487226</v>
      </c>
      <c r="C2147">
        <v>12</v>
      </c>
      <c r="D2147" s="1" t="s">
        <v>996</v>
      </c>
      <c r="E2147">
        <v>10</v>
      </c>
    </row>
    <row r="2148" spans="1:5" x14ac:dyDescent="0.2">
      <c r="A2148">
        <v>10014354</v>
      </c>
      <c r="B2148">
        <v>27487226</v>
      </c>
      <c r="C2148">
        <v>19</v>
      </c>
      <c r="D2148" s="1" t="s">
        <v>1066</v>
      </c>
      <c r="E2148">
        <v>10</v>
      </c>
    </row>
    <row r="2149" spans="1:5" x14ac:dyDescent="0.2">
      <c r="A2149">
        <v>10014354</v>
      </c>
      <c r="B2149">
        <v>27487226</v>
      </c>
      <c r="C2149">
        <v>3</v>
      </c>
      <c r="D2149" s="1" t="s">
        <v>1166</v>
      </c>
      <c r="E2149">
        <v>10</v>
      </c>
    </row>
    <row r="2150" spans="1:5" x14ac:dyDescent="0.2">
      <c r="A2150">
        <v>10014354</v>
      </c>
      <c r="B2150">
        <v>27487226</v>
      </c>
      <c r="C2150">
        <v>21</v>
      </c>
      <c r="D2150" s="1" t="s">
        <v>329</v>
      </c>
      <c r="E2150">
        <v>10</v>
      </c>
    </row>
    <row r="2151" spans="1:5" x14ac:dyDescent="0.2">
      <c r="A2151">
        <v>10014354</v>
      </c>
      <c r="B2151">
        <v>27487226</v>
      </c>
      <c r="C2151">
        <v>9</v>
      </c>
      <c r="D2151" s="1" t="s">
        <v>429</v>
      </c>
      <c r="E2151">
        <v>10</v>
      </c>
    </row>
    <row r="2152" spans="1:5" x14ac:dyDescent="0.2">
      <c r="A2152">
        <v>10014354</v>
      </c>
      <c r="B2152">
        <v>27487226</v>
      </c>
      <c r="C2152">
        <v>11</v>
      </c>
      <c r="D2152" s="1" t="s">
        <v>1123</v>
      </c>
      <c r="E2152">
        <v>10</v>
      </c>
    </row>
    <row r="2153" spans="1:5" x14ac:dyDescent="0.2">
      <c r="A2153">
        <v>10014354</v>
      </c>
      <c r="B2153">
        <v>27487226</v>
      </c>
      <c r="C2153">
        <v>23</v>
      </c>
      <c r="D2153" s="1" t="s">
        <v>893</v>
      </c>
      <c r="E2153">
        <v>10</v>
      </c>
    </row>
    <row r="2154" spans="1:5" x14ac:dyDescent="0.2">
      <c r="A2154">
        <v>10014354</v>
      </c>
      <c r="B2154">
        <v>27487226</v>
      </c>
      <c r="C2154">
        <v>2</v>
      </c>
      <c r="D2154" s="1" t="s">
        <v>757</v>
      </c>
      <c r="E2154">
        <v>10</v>
      </c>
    </row>
    <row r="2155" spans="1:5" x14ac:dyDescent="0.2">
      <c r="A2155">
        <v>10014354</v>
      </c>
      <c r="B2155">
        <v>27487226</v>
      </c>
      <c r="C2155">
        <v>16</v>
      </c>
      <c r="D2155" s="1" t="s">
        <v>1081</v>
      </c>
      <c r="E2155">
        <v>10</v>
      </c>
    </row>
    <row r="2156" spans="1:5" x14ac:dyDescent="0.2">
      <c r="A2156">
        <v>10014354</v>
      </c>
      <c r="B2156">
        <v>27487226</v>
      </c>
      <c r="C2156">
        <v>10</v>
      </c>
      <c r="D2156" s="1" t="s">
        <v>1167</v>
      </c>
      <c r="E2156">
        <v>10</v>
      </c>
    </row>
    <row r="2157" spans="1:5" x14ac:dyDescent="0.2">
      <c r="A2157">
        <v>10014354</v>
      </c>
      <c r="B2157">
        <v>27487226</v>
      </c>
      <c r="C2157">
        <v>24</v>
      </c>
      <c r="D2157" s="1" t="s">
        <v>1168</v>
      </c>
      <c r="E2157">
        <v>10</v>
      </c>
    </row>
    <row r="2158" spans="1:5" x14ac:dyDescent="0.2">
      <c r="A2158">
        <v>10014354</v>
      </c>
      <c r="B2158">
        <v>27487226</v>
      </c>
      <c r="C2158">
        <v>7</v>
      </c>
      <c r="D2158" s="1" t="s">
        <v>1074</v>
      </c>
      <c r="E2158">
        <v>10</v>
      </c>
    </row>
    <row r="2159" spans="1:5" x14ac:dyDescent="0.2">
      <c r="A2159">
        <v>10014354</v>
      </c>
      <c r="B2159">
        <v>27487226</v>
      </c>
      <c r="C2159">
        <v>6</v>
      </c>
      <c r="D2159" s="1" t="s">
        <v>761</v>
      </c>
      <c r="E2159">
        <v>10</v>
      </c>
    </row>
    <row r="2160" spans="1:5" x14ac:dyDescent="0.2">
      <c r="A2160">
        <v>10014354</v>
      </c>
      <c r="B2160">
        <v>27487226</v>
      </c>
      <c r="C2160">
        <v>17</v>
      </c>
      <c r="D2160" s="1" t="s">
        <v>1072</v>
      </c>
      <c r="E2160">
        <v>10</v>
      </c>
    </row>
    <row r="2161" spans="1:5" x14ac:dyDescent="0.2">
      <c r="A2161">
        <v>10014354</v>
      </c>
      <c r="B2161">
        <v>27487226</v>
      </c>
      <c r="C2161">
        <v>13</v>
      </c>
      <c r="D2161" s="1" t="s">
        <v>1079</v>
      </c>
      <c r="E2161">
        <v>10</v>
      </c>
    </row>
    <row r="2162" spans="1:5" x14ac:dyDescent="0.2">
      <c r="A2162">
        <v>10014354</v>
      </c>
      <c r="B2162">
        <v>27487226</v>
      </c>
      <c r="C2162">
        <v>1</v>
      </c>
      <c r="D2162" s="1" t="s">
        <v>561</v>
      </c>
      <c r="E2162">
        <v>10</v>
      </c>
    </row>
    <row r="2163" spans="1:5" x14ac:dyDescent="0.2">
      <c r="A2163">
        <v>10014354</v>
      </c>
      <c r="B2163">
        <v>27487226</v>
      </c>
      <c r="C2163">
        <v>4</v>
      </c>
      <c r="D2163" s="1" t="s">
        <v>897</v>
      </c>
      <c r="E2163">
        <v>10</v>
      </c>
    </row>
    <row r="2164" spans="1:5" x14ac:dyDescent="0.2">
      <c r="A2164">
        <v>10014354</v>
      </c>
      <c r="B2164">
        <v>27487226</v>
      </c>
      <c r="C2164">
        <v>18</v>
      </c>
      <c r="D2164" s="1" t="s">
        <v>1108</v>
      </c>
      <c r="E2164">
        <v>10</v>
      </c>
    </row>
    <row r="2165" spans="1:5" x14ac:dyDescent="0.2">
      <c r="A2165">
        <v>10014354</v>
      </c>
      <c r="B2165">
        <v>27487226</v>
      </c>
      <c r="C2165">
        <v>20</v>
      </c>
      <c r="D2165" s="1" t="s">
        <v>1077</v>
      </c>
      <c r="E2165">
        <v>10</v>
      </c>
    </row>
    <row r="2166" spans="1:5" x14ac:dyDescent="0.2">
      <c r="A2166">
        <v>10014354</v>
      </c>
      <c r="B2166">
        <v>27487226</v>
      </c>
      <c r="C2166">
        <v>22</v>
      </c>
      <c r="D2166" s="1" t="s">
        <v>560</v>
      </c>
      <c r="E2166">
        <v>10</v>
      </c>
    </row>
    <row r="2167" spans="1:5" x14ac:dyDescent="0.2">
      <c r="A2167">
        <v>10014354</v>
      </c>
      <c r="B2167">
        <v>27487226</v>
      </c>
      <c r="C2167">
        <v>14</v>
      </c>
      <c r="D2167" s="1" t="s">
        <v>335</v>
      </c>
      <c r="E2167">
        <v>10</v>
      </c>
    </row>
    <row r="2168" spans="1:5" x14ac:dyDescent="0.2">
      <c r="A2168">
        <v>10014354</v>
      </c>
      <c r="B2168">
        <v>27487226</v>
      </c>
      <c r="C2168">
        <v>15</v>
      </c>
      <c r="D2168" s="1" t="s">
        <v>477</v>
      </c>
      <c r="E2168">
        <v>10</v>
      </c>
    </row>
    <row r="2169" spans="1:5" x14ac:dyDescent="0.2">
      <c r="A2169">
        <v>10039708</v>
      </c>
      <c r="B2169">
        <v>23819016</v>
      </c>
      <c r="C2169">
        <v>3</v>
      </c>
      <c r="D2169" s="1" t="s">
        <v>559</v>
      </c>
      <c r="E2169">
        <v>10</v>
      </c>
    </row>
    <row r="2170" spans="1:5" x14ac:dyDescent="0.2">
      <c r="A2170">
        <v>10039708</v>
      </c>
      <c r="B2170">
        <v>23819016</v>
      </c>
      <c r="C2170">
        <v>10</v>
      </c>
      <c r="D2170" s="1" t="s">
        <v>1169</v>
      </c>
      <c r="E2170">
        <v>10</v>
      </c>
    </row>
    <row r="2171" spans="1:5" x14ac:dyDescent="0.2">
      <c r="A2171">
        <v>10039708</v>
      </c>
      <c r="B2171">
        <v>23819016</v>
      </c>
      <c r="C2171">
        <v>21</v>
      </c>
      <c r="D2171" s="1" t="s">
        <v>1077</v>
      </c>
      <c r="E2171">
        <v>10</v>
      </c>
    </row>
    <row r="2172" spans="1:5" x14ac:dyDescent="0.2">
      <c r="A2172">
        <v>10039708</v>
      </c>
      <c r="B2172">
        <v>23819016</v>
      </c>
      <c r="C2172">
        <v>4</v>
      </c>
      <c r="D2172" s="1" t="s">
        <v>423</v>
      </c>
      <c r="E2172">
        <v>10</v>
      </c>
    </row>
    <row r="2173" spans="1:5" x14ac:dyDescent="0.2">
      <c r="A2173">
        <v>10039708</v>
      </c>
      <c r="B2173">
        <v>23819016</v>
      </c>
      <c r="C2173">
        <v>1</v>
      </c>
      <c r="D2173" s="1" t="s">
        <v>1170</v>
      </c>
      <c r="E2173">
        <v>10</v>
      </c>
    </row>
    <row r="2174" spans="1:5" x14ac:dyDescent="0.2">
      <c r="A2174">
        <v>10039708</v>
      </c>
      <c r="B2174">
        <v>23819016</v>
      </c>
      <c r="C2174">
        <v>18</v>
      </c>
      <c r="D2174" s="1" t="s">
        <v>312</v>
      </c>
      <c r="E2174">
        <v>10</v>
      </c>
    </row>
    <row r="2175" spans="1:5" x14ac:dyDescent="0.2">
      <c r="A2175">
        <v>10039708</v>
      </c>
      <c r="B2175">
        <v>23819016</v>
      </c>
      <c r="C2175">
        <v>15</v>
      </c>
      <c r="D2175" s="1" t="s">
        <v>914</v>
      </c>
      <c r="E2175">
        <v>10</v>
      </c>
    </row>
    <row r="2176" spans="1:5" x14ac:dyDescent="0.2">
      <c r="A2176">
        <v>10039708</v>
      </c>
      <c r="B2176">
        <v>23819016</v>
      </c>
      <c r="C2176">
        <v>6</v>
      </c>
      <c r="D2176" s="1" t="s">
        <v>1171</v>
      </c>
      <c r="E2176">
        <v>10</v>
      </c>
    </row>
    <row r="2177" spans="1:5" x14ac:dyDescent="0.2">
      <c r="A2177">
        <v>10039708</v>
      </c>
      <c r="B2177">
        <v>23819016</v>
      </c>
      <c r="C2177">
        <v>2</v>
      </c>
      <c r="D2177" s="1" t="s">
        <v>1172</v>
      </c>
      <c r="E2177">
        <v>10</v>
      </c>
    </row>
    <row r="2178" spans="1:5" x14ac:dyDescent="0.2">
      <c r="A2178">
        <v>10039708</v>
      </c>
      <c r="B2178">
        <v>23819016</v>
      </c>
      <c r="C2178">
        <v>13</v>
      </c>
      <c r="D2178" s="1" t="s">
        <v>621</v>
      </c>
      <c r="E2178">
        <v>10</v>
      </c>
    </row>
    <row r="2179" spans="1:5" x14ac:dyDescent="0.2">
      <c r="A2179">
        <v>10039708</v>
      </c>
      <c r="B2179">
        <v>23819016</v>
      </c>
      <c r="C2179">
        <v>14</v>
      </c>
      <c r="D2179" s="1" t="s">
        <v>737</v>
      </c>
      <c r="E2179">
        <v>10</v>
      </c>
    </row>
    <row r="2180" spans="1:5" x14ac:dyDescent="0.2">
      <c r="A2180">
        <v>10039708</v>
      </c>
      <c r="B2180">
        <v>23819016</v>
      </c>
      <c r="C2180">
        <v>19</v>
      </c>
      <c r="D2180" s="1" t="s">
        <v>736</v>
      </c>
      <c r="E2180">
        <v>10</v>
      </c>
    </row>
    <row r="2181" spans="1:5" x14ac:dyDescent="0.2">
      <c r="A2181">
        <v>10039708</v>
      </c>
      <c r="B2181">
        <v>23819016</v>
      </c>
      <c r="C2181">
        <v>20</v>
      </c>
      <c r="D2181" s="1" t="s">
        <v>752</v>
      </c>
      <c r="E2181">
        <v>10</v>
      </c>
    </row>
    <row r="2182" spans="1:5" x14ac:dyDescent="0.2">
      <c r="A2182">
        <v>10039708</v>
      </c>
      <c r="B2182">
        <v>23819016</v>
      </c>
      <c r="C2182">
        <v>9</v>
      </c>
      <c r="D2182" s="1" t="s">
        <v>1158</v>
      </c>
      <c r="E2182">
        <v>10</v>
      </c>
    </row>
    <row r="2183" spans="1:5" x14ac:dyDescent="0.2">
      <c r="A2183">
        <v>10039708</v>
      </c>
      <c r="B2183">
        <v>23819016</v>
      </c>
      <c r="C2183">
        <v>11</v>
      </c>
      <c r="D2183" s="1" t="s">
        <v>1173</v>
      </c>
      <c r="E2183">
        <v>10</v>
      </c>
    </row>
    <row r="2184" spans="1:5" x14ac:dyDescent="0.2">
      <c r="A2184">
        <v>10039708</v>
      </c>
      <c r="B2184">
        <v>23819016</v>
      </c>
      <c r="C2184">
        <v>12</v>
      </c>
      <c r="D2184" s="1" t="s">
        <v>560</v>
      </c>
      <c r="E2184">
        <v>10</v>
      </c>
    </row>
    <row r="2185" spans="1:5" x14ac:dyDescent="0.2">
      <c r="A2185">
        <v>10039708</v>
      </c>
      <c r="B2185">
        <v>23819016</v>
      </c>
      <c r="C2185">
        <v>16</v>
      </c>
      <c r="D2185" s="1" t="s">
        <v>519</v>
      </c>
      <c r="E2185">
        <v>10</v>
      </c>
    </row>
    <row r="2186" spans="1:5" x14ac:dyDescent="0.2">
      <c r="A2186">
        <v>10039708</v>
      </c>
      <c r="B2186">
        <v>23819016</v>
      </c>
      <c r="C2186">
        <v>17</v>
      </c>
      <c r="D2186" s="1" t="s">
        <v>1102</v>
      </c>
      <c r="E2186">
        <v>10</v>
      </c>
    </row>
    <row r="2187" spans="1:5" x14ac:dyDescent="0.2">
      <c r="A2187">
        <v>10039708</v>
      </c>
      <c r="B2187">
        <v>23819016</v>
      </c>
      <c r="C2187">
        <v>8</v>
      </c>
      <c r="D2187" s="1" t="s">
        <v>1174</v>
      </c>
      <c r="E2187">
        <v>10</v>
      </c>
    </row>
    <row r="2188" spans="1:5" x14ac:dyDescent="0.2">
      <c r="A2188">
        <v>10039708</v>
      </c>
      <c r="B2188">
        <v>23819016</v>
      </c>
      <c r="C2188">
        <v>5</v>
      </c>
      <c r="D2188" s="1" t="s">
        <v>1175</v>
      </c>
      <c r="E2188">
        <v>10</v>
      </c>
    </row>
    <row r="2189" spans="1:5" x14ac:dyDescent="0.2">
      <c r="A2189">
        <v>10039708</v>
      </c>
      <c r="B2189">
        <v>23819016</v>
      </c>
      <c r="C2189">
        <v>7</v>
      </c>
      <c r="D2189" s="1" t="s">
        <v>625</v>
      </c>
      <c r="E2189">
        <v>10</v>
      </c>
    </row>
    <row r="2190" spans="1:5" x14ac:dyDescent="0.2">
      <c r="A2190">
        <v>10039708</v>
      </c>
      <c r="B2190">
        <v>22999601</v>
      </c>
      <c r="C2190">
        <v>5</v>
      </c>
      <c r="D2190" s="1" t="s">
        <v>476</v>
      </c>
      <c r="E2190">
        <v>10</v>
      </c>
    </row>
    <row r="2191" spans="1:5" x14ac:dyDescent="0.2">
      <c r="A2191">
        <v>10039708</v>
      </c>
      <c r="B2191">
        <v>22999601</v>
      </c>
      <c r="C2191">
        <v>3</v>
      </c>
      <c r="D2191" s="1" t="s">
        <v>882</v>
      </c>
      <c r="E2191">
        <v>10</v>
      </c>
    </row>
    <row r="2192" spans="1:5" x14ac:dyDescent="0.2">
      <c r="A2192">
        <v>10039708</v>
      </c>
      <c r="B2192">
        <v>22999601</v>
      </c>
      <c r="C2192">
        <v>7</v>
      </c>
      <c r="D2192" s="1" t="s">
        <v>1103</v>
      </c>
      <c r="E2192">
        <v>10</v>
      </c>
    </row>
    <row r="2193" spans="1:5" x14ac:dyDescent="0.2">
      <c r="A2193">
        <v>10039708</v>
      </c>
      <c r="B2193">
        <v>22999601</v>
      </c>
      <c r="C2193">
        <v>8</v>
      </c>
      <c r="D2193" s="1" t="s">
        <v>1176</v>
      </c>
      <c r="E2193">
        <v>10</v>
      </c>
    </row>
    <row r="2194" spans="1:5" x14ac:dyDescent="0.2">
      <c r="A2194">
        <v>10039708</v>
      </c>
      <c r="B2194">
        <v>22999601</v>
      </c>
      <c r="C2194">
        <v>2</v>
      </c>
      <c r="D2194" s="1" t="s">
        <v>994</v>
      </c>
      <c r="E2194">
        <v>10</v>
      </c>
    </row>
    <row r="2195" spans="1:5" x14ac:dyDescent="0.2">
      <c r="A2195">
        <v>10039708</v>
      </c>
      <c r="B2195">
        <v>22999601</v>
      </c>
      <c r="C2195">
        <v>4</v>
      </c>
      <c r="D2195" s="1" t="s">
        <v>884</v>
      </c>
      <c r="E2195">
        <v>10</v>
      </c>
    </row>
    <row r="2196" spans="1:5" x14ac:dyDescent="0.2">
      <c r="A2196">
        <v>10039708</v>
      </c>
      <c r="B2196">
        <v>22999601</v>
      </c>
      <c r="C2196">
        <v>1</v>
      </c>
      <c r="D2196" s="1" t="s">
        <v>1177</v>
      </c>
      <c r="E2196">
        <v>10</v>
      </c>
    </row>
    <row r="2197" spans="1:5" x14ac:dyDescent="0.2">
      <c r="A2197">
        <v>10039708</v>
      </c>
      <c r="B2197">
        <v>22999601</v>
      </c>
      <c r="C2197">
        <v>6</v>
      </c>
      <c r="D2197" s="1" t="s">
        <v>1178</v>
      </c>
      <c r="E2197">
        <v>10</v>
      </c>
    </row>
    <row r="2198" spans="1:5" x14ac:dyDescent="0.2">
      <c r="A2198">
        <v>10039708</v>
      </c>
      <c r="B2198">
        <v>28258130</v>
      </c>
      <c r="C2198">
        <v>1</v>
      </c>
      <c r="D2198" s="1" t="s">
        <v>312</v>
      </c>
      <c r="E2198">
        <v>10</v>
      </c>
    </row>
    <row r="2199" spans="1:5" x14ac:dyDescent="0.2">
      <c r="A2199">
        <v>10039708</v>
      </c>
      <c r="B2199">
        <v>28258130</v>
      </c>
      <c r="C2199">
        <v>29</v>
      </c>
      <c r="D2199" s="1" t="s">
        <v>1179</v>
      </c>
      <c r="E2199">
        <v>10</v>
      </c>
    </row>
    <row r="2200" spans="1:5" x14ac:dyDescent="0.2">
      <c r="A2200">
        <v>10039708</v>
      </c>
      <c r="B2200">
        <v>28258130</v>
      </c>
      <c r="C2200">
        <v>13</v>
      </c>
      <c r="D2200" s="1" t="s">
        <v>1180</v>
      </c>
      <c r="E2200">
        <v>10</v>
      </c>
    </row>
    <row r="2201" spans="1:5" x14ac:dyDescent="0.2">
      <c r="A2201">
        <v>10039708</v>
      </c>
      <c r="B2201">
        <v>28258130</v>
      </c>
      <c r="C2201">
        <v>28</v>
      </c>
      <c r="D2201" s="1" t="s">
        <v>1173</v>
      </c>
      <c r="E2201">
        <v>10</v>
      </c>
    </row>
    <row r="2202" spans="1:5" x14ac:dyDescent="0.2">
      <c r="A2202">
        <v>10039708</v>
      </c>
      <c r="B2202">
        <v>28258130</v>
      </c>
      <c r="C2202">
        <v>7</v>
      </c>
      <c r="D2202" s="1" t="s">
        <v>1181</v>
      </c>
      <c r="E2202">
        <v>10</v>
      </c>
    </row>
    <row r="2203" spans="1:5" x14ac:dyDescent="0.2">
      <c r="A2203">
        <v>10039708</v>
      </c>
      <c r="B2203">
        <v>28258130</v>
      </c>
      <c r="C2203">
        <v>18</v>
      </c>
      <c r="D2203" s="1" t="s">
        <v>1182</v>
      </c>
      <c r="E2203">
        <v>10</v>
      </c>
    </row>
    <row r="2204" spans="1:5" x14ac:dyDescent="0.2">
      <c r="A2204">
        <v>10039708</v>
      </c>
      <c r="B2204">
        <v>28258130</v>
      </c>
      <c r="C2204">
        <v>33</v>
      </c>
      <c r="D2204" s="1" t="s">
        <v>684</v>
      </c>
      <c r="E2204">
        <v>10</v>
      </c>
    </row>
    <row r="2205" spans="1:5" x14ac:dyDescent="0.2">
      <c r="A2205">
        <v>10039708</v>
      </c>
      <c r="B2205">
        <v>28258130</v>
      </c>
      <c r="C2205">
        <v>31</v>
      </c>
      <c r="D2205" s="1" t="s">
        <v>1183</v>
      </c>
      <c r="E2205">
        <v>10</v>
      </c>
    </row>
    <row r="2206" spans="1:5" x14ac:dyDescent="0.2">
      <c r="A2206">
        <v>10039708</v>
      </c>
      <c r="B2206">
        <v>28258130</v>
      </c>
      <c r="C2206">
        <v>22</v>
      </c>
      <c r="D2206" s="1" t="s">
        <v>1169</v>
      </c>
      <c r="E2206">
        <v>10</v>
      </c>
    </row>
    <row r="2207" spans="1:5" x14ac:dyDescent="0.2">
      <c r="A2207">
        <v>10039708</v>
      </c>
      <c r="B2207">
        <v>28258130</v>
      </c>
      <c r="C2207">
        <v>8</v>
      </c>
      <c r="D2207" s="1" t="s">
        <v>624</v>
      </c>
      <c r="E2207">
        <v>10</v>
      </c>
    </row>
    <row r="2208" spans="1:5" x14ac:dyDescent="0.2">
      <c r="A2208">
        <v>10039708</v>
      </c>
      <c r="B2208">
        <v>28258130</v>
      </c>
      <c r="C2208">
        <v>19</v>
      </c>
      <c r="D2208" s="1" t="s">
        <v>1184</v>
      </c>
      <c r="E2208">
        <v>10</v>
      </c>
    </row>
    <row r="2209" spans="1:5" x14ac:dyDescent="0.2">
      <c r="A2209">
        <v>10039708</v>
      </c>
      <c r="B2209">
        <v>28258130</v>
      </c>
      <c r="C2209">
        <v>27</v>
      </c>
      <c r="D2209" s="1" t="s">
        <v>1185</v>
      </c>
      <c r="E2209">
        <v>10</v>
      </c>
    </row>
    <row r="2210" spans="1:5" x14ac:dyDescent="0.2">
      <c r="A2210">
        <v>10039708</v>
      </c>
      <c r="B2210">
        <v>28258130</v>
      </c>
      <c r="C2210">
        <v>5</v>
      </c>
      <c r="D2210" s="1" t="s">
        <v>1186</v>
      </c>
      <c r="E2210">
        <v>10</v>
      </c>
    </row>
    <row r="2211" spans="1:5" x14ac:dyDescent="0.2">
      <c r="A2211">
        <v>10039708</v>
      </c>
      <c r="B2211">
        <v>28258130</v>
      </c>
      <c r="C2211">
        <v>3</v>
      </c>
      <c r="D2211" s="1" t="s">
        <v>1187</v>
      </c>
      <c r="E2211">
        <v>10</v>
      </c>
    </row>
    <row r="2212" spans="1:5" x14ac:dyDescent="0.2">
      <c r="A2212">
        <v>10039708</v>
      </c>
      <c r="B2212">
        <v>28258130</v>
      </c>
      <c r="C2212">
        <v>14</v>
      </c>
      <c r="D2212" s="1" t="s">
        <v>1188</v>
      </c>
      <c r="E2212">
        <v>10</v>
      </c>
    </row>
    <row r="2213" spans="1:5" x14ac:dyDescent="0.2">
      <c r="A2213">
        <v>10039708</v>
      </c>
      <c r="B2213">
        <v>28258130</v>
      </c>
      <c r="C2213">
        <v>25</v>
      </c>
      <c r="D2213" s="1" t="s">
        <v>379</v>
      </c>
      <c r="E2213">
        <v>10</v>
      </c>
    </row>
    <row r="2214" spans="1:5" x14ac:dyDescent="0.2">
      <c r="A2214">
        <v>10039708</v>
      </c>
      <c r="B2214">
        <v>28258130</v>
      </c>
      <c r="C2214">
        <v>35</v>
      </c>
      <c r="D2214" s="1" t="s">
        <v>519</v>
      </c>
      <c r="E2214">
        <v>10</v>
      </c>
    </row>
    <row r="2215" spans="1:5" x14ac:dyDescent="0.2">
      <c r="A2215">
        <v>10039708</v>
      </c>
      <c r="B2215">
        <v>28258130</v>
      </c>
      <c r="C2215">
        <v>26</v>
      </c>
      <c r="D2215" s="1" t="s">
        <v>890</v>
      </c>
      <c r="E2215">
        <v>10</v>
      </c>
    </row>
    <row r="2216" spans="1:5" x14ac:dyDescent="0.2">
      <c r="A2216">
        <v>10039708</v>
      </c>
      <c r="B2216">
        <v>28258130</v>
      </c>
      <c r="C2216">
        <v>9</v>
      </c>
      <c r="D2216" s="1" t="s">
        <v>615</v>
      </c>
      <c r="E2216">
        <v>10</v>
      </c>
    </row>
    <row r="2217" spans="1:5" x14ac:dyDescent="0.2">
      <c r="A2217">
        <v>10039708</v>
      </c>
      <c r="B2217">
        <v>28258130</v>
      </c>
      <c r="C2217">
        <v>17</v>
      </c>
      <c r="D2217" s="1" t="s">
        <v>870</v>
      </c>
      <c r="E2217">
        <v>10</v>
      </c>
    </row>
    <row r="2218" spans="1:5" x14ac:dyDescent="0.2">
      <c r="A2218">
        <v>10039708</v>
      </c>
      <c r="B2218">
        <v>28258130</v>
      </c>
      <c r="C2218">
        <v>20</v>
      </c>
      <c r="D2218" s="1" t="s">
        <v>309</v>
      </c>
      <c r="E2218">
        <v>10</v>
      </c>
    </row>
    <row r="2219" spans="1:5" x14ac:dyDescent="0.2">
      <c r="A2219">
        <v>10039708</v>
      </c>
      <c r="B2219">
        <v>28258130</v>
      </c>
      <c r="C2219">
        <v>23</v>
      </c>
      <c r="D2219" s="1" t="s">
        <v>574</v>
      </c>
      <c r="E2219">
        <v>10</v>
      </c>
    </row>
    <row r="2220" spans="1:5" x14ac:dyDescent="0.2">
      <c r="A2220">
        <v>10039708</v>
      </c>
      <c r="B2220">
        <v>28258130</v>
      </c>
      <c r="C2220">
        <v>32</v>
      </c>
      <c r="D2220" s="1" t="s">
        <v>1189</v>
      </c>
      <c r="E2220">
        <v>10</v>
      </c>
    </row>
    <row r="2221" spans="1:5" x14ac:dyDescent="0.2">
      <c r="A2221">
        <v>10039708</v>
      </c>
      <c r="B2221">
        <v>28258130</v>
      </c>
      <c r="C2221">
        <v>36</v>
      </c>
      <c r="D2221" s="1" t="s">
        <v>1077</v>
      </c>
      <c r="E2221">
        <v>10</v>
      </c>
    </row>
    <row r="2222" spans="1:5" x14ac:dyDescent="0.2">
      <c r="A2222">
        <v>10039708</v>
      </c>
      <c r="B2222">
        <v>28258130</v>
      </c>
      <c r="C2222">
        <v>37</v>
      </c>
      <c r="D2222" s="1" t="s">
        <v>605</v>
      </c>
      <c r="E2222">
        <v>10</v>
      </c>
    </row>
    <row r="2223" spans="1:5" x14ac:dyDescent="0.2">
      <c r="A2223">
        <v>10039708</v>
      </c>
      <c r="B2223">
        <v>28258130</v>
      </c>
      <c r="C2223">
        <v>11</v>
      </c>
      <c r="D2223" s="1" t="s">
        <v>625</v>
      </c>
      <c r="E2223">
        <v>10</v>
      </c>
    </row>
    <row r="2224" spans="1:5" x14ac:dyDescent="0.2">
      <c r="A2224">
        <v>10039708</v>
      </c>
      <c r="B2224">
        <v>28258130</v>
      </c>
      <c r="C2224">
        <v>34</v>
      </c>
      <c r="D2224" s="1" t="s">
        <v>1033</v>
      </c>
      <c r="E2224">
        <v>10</v>
      </c>
    </row>
    <row r="2225" spans="1:5" x14ac:dyDescent="0.2">
      <c r="A2225">
        <v>10039708</v>
      </c>
      <c r="B2225">
        <v>28258130</v>
      </c>
      <c r="C2225">
        <v>15</v>
      </c>
      <c r="D2225" s="1" t="s">
        <v>1190</v>
      </c>
      <c r="E2225">
        <v>10</v>
      </c>
    </row>
    <row r="2226" spans="1:5" x14ac:dyDescent="0.2">
      <c r="A2226">
        <v>10039708</v>
      </c>
      <c r="B2226">
        <v>28258130</v>
      </c>
      <c r="C2226">
        <v>6</v>
      </c>
      <c r="D2226" s="1" t="s">
        <v>1191</v>
      </c>
      <c r="E2226">
        <v>10</v>
      </c>
    </row>
    <row r="2227" spans="1:5" x14ac:dyDescent="0.2">
      <c r="A2227">
        <v>10039708</v>
      </c>
      <c r="B2227">
        <v>28258130</v>
      </c>
      <c r="C2227">
        <v>16</v>
      </c>
      <c r="D2227" s="1" t="s">
        <v>1192</v>
      </c>
      <c r="E2227">
        <v>10</v>
      </c>
    </row>
    <row r="2228" spans="1:5" x14ac:dyDescent="0.2">
      <c r="A2228">
        <v>10039708</v>
      </c>
      <c r="B2228">
        <v>28258130</v>
      </c>
      <c r="C2228">
        <v>4</v>
      </c>
      <c r="D2228" s="1" t="s">
        <v>520</v>
      </c>
      <c r="E2228">
        <v>10</v>
      </c>
    </row>
    <row r="2229" spans="1:5" x14ac:dyDescent="0.2">
      <c r="A2229">
        <v>10039708</v>
      </c>
      <c r="B2229">
        <v>28258130</v>
      </c>
      <c r="C2229">
        <v>21</v>
      </c>
      <c r="D2229" s="1" t="s">
        <v>1193</v>
      </c>
      <c r="E2229">
        <v>10</v>
      </c>
    </row>
    <row r="2230" spans="1:5" x14ac:dyDescent="0.2">
      <c r="A2230">
        <v>10039708</v>
      </c>
      <c r="B2230">
        <v>28258130</v>
      </c>
      <c r="C2230">
        <v>38</v>
      </c>
      <c r="D2230" s="1" t="s">
        <v>337</v>
      </c>
      <c r="E2230">
        <v>10</v>
      </c>
    </row>
    <row r="2231" spans="1:5" x14ac:dyDescent="0.2">
      <c r="A2231">
        <v>10039708</v>
      </c>
      <c r="B2231">
        <v>28258130</v>
      </c>
      <c r="C2231">
        <v>12</v>
      </c>
      <c r="D2231" s="1" t="s">
        <v>1174</v>
      </c>
      <c r="E2231">
        <v>10</v>
      </c>
    </row>
    <row r="2232" spans="1:5" x14ac:dyDescent="0.2">
      <c r="A2232">
        <v>10039708</v>
      </c>
      <c r="B2232">
        <v>28258130</v>
      </c>
      <c r="C2232">
        <v>10</v>
      </c>
      <c r="D2232" s="1" t="s">
        <v>1175</v>
      </c>
      <c r="E2232">
        <v>10</v>
      </c>
    </row>
    <row r="2233" spans="1:5" x14ac:dyDescent="0.2">
      <c r="A2233">
        <v>10039708</v>
      </c>
      <c r="B2233">
        <v>28258130</v>
      </c>
      <c r="C2233">
        <v>24</v>
      </c>
      <c r="D2233" s="1" t="s">
        <v>560</v>
      </c>
      <c r="E2233">
        <v>10</v>
      </c>
    </row>
    <row r="2234" spans="1:5" x14ac:dyDescent="0.2">
      <c r="A2234">
        <v>10039708</v>
      </c>
      <c r="B2234">
        <v>28258130</v>
      </c>
      <c r="C2234">
        <v>30</v>
      </c>
      <c r="D2234" s="1" t="s">
        <v>1194</v>
      </c>
      <c r="E2234">
        <v>10</v>
      </c>
    </row>
    <row r="2235" spans="1:5" x14ac:dyDescent="0.2">
      <c r="A2235">
        <v>10039708</v>
      </c>
      <c r="B2235">
        <v>28258130</v>
      </c>
      <c r="C2235">
        <v>2</v>
      </c>
      <c r="D2235" s="1" t="s">
        <v>742</v>
      </c>
      <c r="E2235">
        <v>10</v>
      </c>
    </row>
    <row r="2236" spans="1:5" x14ac:dyDescent="0.2">
      <c r="A2236">
        <v>10039708</v>
      </c>
      <c r="B2236">
        <v>20572787</v>
      </c>
      <c r="C2236">
        <v>3</v>
      </c>
      <c r="D2236" s="1" t="s">
        <v>388</v>
      </c>
      <c r="E2236">
        <v>9</v>
      </c>
    </row>
    <row r="2237" spans="1:5" x14ac:dyDescent="0.2">
      <c r="A2237">
        <v>10039708</v>
      </c>
      <c r="B2237">
        <v>20572787</v>
      </c>
      <c r="C2237">
        <v>7</v>
      </c>
      <c r="D2237" s="1" t="s">
        <v>297</v>
      </c>
      <c r="E2237">
        <v>9</v>
      </c>
    </row>
    <row r="2238" spans="1:5" x14ac:dyDescent="0.2">
      <c r="A2238">
        <v>10039708</v>
      </c>
      <c r="B2238">
        <v>20572787</v>
      </c>
      <c r="C2238">
        <v>11</v>
      </c>
      <c r="D2238" s="1" t="s">
        <v>295</v>
      </c>
      <c r="E2238">
        <v>9</v>
      </c>
    </row>
    <row r="2239" spans="1:5" x14ac:dyDescent="0.2">
      <c r="A2239">
        <v>10039708</v>
      </c>
      <c r="B2239">
        <v>20572787</v>
      </c>
      <c r="C2239">
        <v>9</v>
      </c>
      <c r="D2239" s="1" t="s">
        <v>272</v>
      </c>
      <c r="E2239">
        <v>9</v>
      </c>
    </row>
    <row r="2240" spans="1:5" x14ac:dyDescent="0.2">
      <c r="A2240">
        <v>10039708</v>
      </c>
      <c r="B2240">
        <v>20572787</v>
      </c>
      <c r="C2240">
        <v>10</v>
      </c>
      <c r="D2240" s="1" t="s">
        <v>850</v>
      </c>
      <c r="E2240">
        <v>9</v>
      </c>
    </row>
    <row r="2241" spans="1:5" x14ac:dyDescent="0.2">
      <c r="A2241">
        <v>10039708</v>
      </c>
      <c r="B2241">
        <v>20572787</v>
      </c>
      <c r="C2241">
        <v>5</v>
      </c>
      <c r="D2241" s="1" t="s">
        <v>296</v>
      </c>
      <c r="E2241">
        <v>9</v>
      </c>
    </row>
    <row r="2242" spans="1:5" x14ac:dyDescent="0.2">
      <c r="A2242">
        <v>10039708</v>
      </c>
      <c r="B2242">
        <v>20572787</v>
      </c>
      <c r="C2242">
        <v>2</v>
      </c>
      <c r="D2242" s="1" t="s">
        <v>796</v>
      </c>
      <c r="E2242">
        <v>9</v>
      </c>
    </row>
    <row r="2243" spans="1:5" x14ac:dyDescent="0.2">
      <c r="A2243">
        <v>10039708</v>
      </c>
      <c r="B2243">
        <v>20572787</v>
      </c>
      <c r="C2243">
        <v>4</v>
      </c>
      <c r="D2243" s="1" t="s">
        <v>308</v>
      </c>
      <c r="E2243">
        <v>9</v>
      </c>
    </row>
    <row r="2244" spans="1:5" x14ac:dyDescent="0.2">
      <c r="A2244">
        <v>10039708</v>
      </c>
      <c r="B2244">
        <v>20572787</v>
      </c>
      <c r="C2244">
        <v>6</v>
      </c>
      <c r="D2244" s="1" t="s">
        <v>540</v>
      </c>
      <c r="E2244">
        <v>9</v>
      </c>
    </row>
    <row r="2245" spans="1:5" x14ac:dyDescent="0.2">
      <c r="A2245">
        <v>10039708</v>
      </c>
      <c r="B2245">
        <v>20572787</v>
      </c>
      <c r="C2245">
        <v>1</v>
      </c>
      <c r="D2245" s="1" t="s">
        <v>1195</v>
      </c>
      <c r="E2245">
        <v>9</v>
      </c>
    </row>
    <row r="2246" spans="1:5" x14ac:dyDescent="0.2">
      <c r="A2246">
        <v>10039708</v>
      </c>
      <c r="B2246">
        <v>20572787</v>
      </c>
      <c r="C2246">
        <v>8</v>
      </c>
      <c r="D2246" s="1" t="s">
        <v>368</v>
      </c>
      <c r="E2246">
        <v>9</v>
      </c>
    </row>
    <row r="2247" spans="1:5" x14ac:dyDescent="0.2">
      <c r="A2247">
        <v>10039708</v>
      </c>
      <c r="B2247">
        <v>20093566</v>
      </c>
      <c r="C2247">
        <v>31</v>
      </c>
      <c r="D2247" s="1" t="s">
        <v>1161</v>
      </c>
      <c r="E2247">
        <v>10</v>
      </c>
    </row>
    <row r="2248" spans="1:5" x14ac:dyDescent="0.2">
      <c r="A2248">
        <v>10039708</v>
      </c>
      <c r="B2248">
        <v>20093566</v>
      </c>
      <c r="C2248">
        <v>8</v>
      </c>
      <c r="D2248" s="1" t="s">
        <v>1196</v>
      </c>
      <c r="E2248">
        <v>10</v>
      </c>
    </row>
    <row r="2249" spans="1:5" x14ac:dyDescent="0.2">
      <c r="A2249">
        <v>10039708</v>
      </c>
      <c r="B2249">
        <v>20093566</v>
      </c>
      <c r="C2249">
        <v>4</v>
      </c>
      <c r="D2249" s="1" t="s">
        <v>590</v>
      </c>
      <c r="E2249">
        <v>10</v>
      </c>
    </row>
    <row r="2250" spans="1:5" x14ac:dyDescent="0.2">
      <c r="A2250">
        <v>10039708</v>
      </c>
      <c r="B2250">
        <v>20093566</v>
      </c>
      <c r="C2250">
        <v>18</v>
      </c>
      <c r="D2250" s="1" t="s">
        <v>1077</v>
      </c>
      <c r="E2250">
        <v>10</v>
      </c>
    </row>
    <row r="2251" spans="1:5" x14ac:dyDescent="0.2">
      <c r="A2251">
        <v>10039708</v>
      </c>
      <c r="B2251">
        <v>20093566</v>
      </c>
      <c r="C2251">
        <v>24</v>
      </c>
      <c r="D2251" s="1" t="s">
        <v>1197</v>
      </c>
      <c r="E2251">
        <v>10</v>
      </c>
    </row>
    <row r="2252" spans="1:5" x14ac:dyDescent="0.2">
      <c r="A2252">
        <v>10039708</v>
      </c>
      <c r="B2252">
        <v>20093566</v>
      </c>
      <c r="C2252">
        <v>2</v>
      </c>
      <c r="D2252" s="1" t="s">
        <v>882</v>
      </c>
      <c r="E2252">
        <v>10</v>
      </c>
    </row>
    <row r="2253" spans="1:5" x14ac:dyDescent="0.2">
      <c r="A2253">
        <v>10039708</v>
      </c>
      <c r="B2253">
        <v>20093566</v>
      </c>
      <c r="C2253">
        <v>27</v>
      </c>
      <c r="D2253" s="1" t="s">
        <v>1198</v>
      </c>
      <c r="E2253">
        <v>10</v>
      </c>
    </row>
    <row r="2254" spans="1:5" x14ac:dyDescent="0.2">
      <c r="A2254">
        <v>10039708</v>
      </c>
      <c r="B2254">
        <v>20093566</v>
      </c>
      <c r="C2254">
        <v>19</v>
      </c>
      <c r="D2254" s="1" t="s">
        <v>1102</v>
      </c>
      <c r="E2254">
        <v>10</v>
      </c>
    </row>
    <row r="2255" spans="1:5" x14ac:dyDescent="0.2">
      <c r="A2255">
        <v>10039708</v>
      </c>
      <c r="B2255">
        <v>20093566</v>
      </c>
      <c r="C2255">
        <v>10</v>
      </c>
      <c r="D2255" s="1" t="s">
        <v>1185</v>
      </c>
      <c r="E2255">
        <v>10</v>
      </c>
    </row>
    <row r="2256" spans="1:5" x14ac:dyDescent="0.2">
      <c r="A2256">
        <v>10039708</v>
      </c>
      <c r="B2256">
        <v>20093566</v>
      </c>
      <c r="C2256">
        <v>26</v>
      </c>
      <c r="D2256" s="1" t="s">
        <v>1199</v>
      </c>
      <c r="E2256">
        <v>10</v>
      </c>
    </row>
    <row r="2257" spans="1:5" x14ac:dyDescent="0.2">
      <c r="A2257">
        <v>10039708</v>
      </c>
      <c r="B2257">
        <v>20093566</v>
      </c>
      <c r="C2257">
        <v>20</v>
      </c>
      <c r="D2257" s="1" t="s">
        <v>1200</v>
      </c>
      <c r="E2257">
        <v>10</v>
      </c>
    </row>
    <row r="2258" spans="1:5" x14ac:dyDescent="0.2">
      <c r="A2258">
        <v>10039708</v>
      </c>
      <c r="B2258">
        <v>20093566</v>
      </c>
      <c r="C2258">
        <v>25</v>
      </c>
      <c r="D2258" s="1" t="s">
        <v>1201</v>
      </c>
      <c r="E2258">
        <v>10</v>
      </c>
    </row>
    <row r="2259" spans="1:5" x14ac:dyDescent="0.2">
      <c r="A2259">
        <v>10039708</v>
      </c>
      <c r="B2259">
        <v>20093566</v>
      </c>
      <c r="C2259">
        <v>5</v>
      </c>
      <c r="D2259" s="1" t="s">
        <v>926</v>
      </c>
      <c r="E2259">
        <v>10</v>
      </c>
    </row>
    <row r="2260" spans="1:5" x14ac:dyDescent="0.2">
      <c r="A2260">
        <v>10039708</v>
      </c>
      <c r="B2260">
        <v>20093566</v>
      </c>
      <c r="C2260">
        <v>11</v>
      </c>
      <c r="D2260" s="1" t="s">
        <v>1202</v>
      </c>
      <c r="E2260">
        <v>10</v>
      </c>
    </row>
    <row r="2261" spans="1:5" x14ac:dyDescent="0.2">
      <c r="A2261">
        <v>10039708</v>
      </c>
      <c r="B2261">
        <v>20093566</v>
      </c>
      <c r="C2261">
        <v>21</v>
      </c>
      <c r="D2261" s="1" t="s">
        <v>1203</v>
      </c>
      <c r="E2261">
        <v>10</v>
      </c>
    </row>
    <row r="2262" spans="1:5" x14ac:dyDescent="0.2">
      <c r="A2262">
        <v>10039708</v>
      </c>
      <c r="B2262">
        <v>20093566</v>
      </c>
      <c r="C2262">
        <v>22</v>
      </c>
      <c r="D2262" s="1" t="s">
        <v>1204</v>
      </c>
      <c r="E2262">
        <v>10</v>
      </c>
    </row>
    <row r="2263" spans="1:5" x14ac:dyDescent="0.2">
      <c r="A2263">
        <v>10039708</v>
      </c>
      <c r="B2263">
        <v>20093566</v>
      </c>
      <c r="C2263">
        <v>32</v>
      </c>
      <c r="D2263" s="1" t="s">
        <v>309</v>
      </c>
      <c r="E2263">
        <v>10</v>
      </c>
    </row>
    <row r="2264" spans="1:5" x14ac:dyDescent="0.2">
      <c r="A2264">
        <v>10039708</v>
      </c>
      <c r="B2264">
        <v>20093566</v>
      </c>
      <c r="C2264">
        <v>29</v>
      </c>
      <c r="D2264" s="1" t="s">
        <v>893</v>
      </c>
      <c r="E2264">
        <v>10</v>
      </c>
    </row>
    <row r="2265" spans="1:5" x14ac:dyDescent="0.2">
      <c r="A2265">
        <v>10039708</v>
      </c>
      <c r="B2265">
        <v>20093566</v>
      </c>
      <c r="C2265">
        <v>1</v>
      </c>
      <c r="D2265" s="1" t="s">
        <v>1205</v>
      </c>
      <c r="E2265">
        <v>10</v>
      </c>
    </row>
    <row r="2266" spans="1:5" x14ac:dyDescent="0.2">
      <c r="A2266">
        <v>10039708</v>
      </c>
      <c r="B2266">
        <v>20093566</v>
      </c>
      <c r="C2266">
        <v>23</v>
      </c>
      <c r="D2266" s="1" t="s">
        <v>1206</v>
      </c>
      <c r="E2266">
        <v>10</v>
      </c>
    </row>
    <row r="2267" spans="1:5" x14ac:dyDescent="0.2">
      <c r="A2267">
        <v>10039708</v>
      </c>
      <c r="B2267">
        <v>20093566</v>
      </c>
      <c r="C2267">
        <v>13</v>
      </c>
      <c r="D2267" s="1" t="s">
        <v>613</v>
      </c>
      <c r="E2267">
        <v>10</v>
      </c>
    </row>
    <row r="2268" spans="1:5" x14ac:dyDescent="0.2">
      <c r="A2268">
        <v>10039708</v>
      </c>
      <c r="B2268">
        <v>20093566</v>
      </c>
      <c r="C2268">
        <v>14</v>
      </c>
      <c r="D2268" s="1" t="s">
        <v>574</v>
      </c>
      <c r="E2268">
        <v>10</v>
      </c>
    </row>
    <row r="2269" spans="1:5" x14ac:dyDescent="0.2">
      <c r="A2269">
        <v>10039708</v>
      </c>
      <c r="B2269">
        <v>20093566</v>
      </c>
      <c r="C2269">
        <v>30</v>
      </c>
      <c r="D2269" s="1" t="s">
        <v>1113</v>
      </c>
      <c r="E2269">
        <v>10</v>
      </c>
    </row>
    <row r="2270" spans="1:5" x14ac:dyDescent="0.2">
      <c r="A2270">
        <v>10039708</v>
      </c>
      <c r="B2270">
        <v>20093566</v>
      </c>
      <c r="C2270">
        <v>17</v>
      </c>
      <c r="D2270" s="1" t="s">
        <v>752</v>
      </c>
      <c r="E2270">
        <v>10</v>
      </c>
    </row>
    <row r="2271" spans="1:5" x14ac:dyDescent="0.2">
      <c r="A2271">
        <v>10039708</v>
      </c>
      <c r="B2271">
        <v>20093566</v>
      </c>
      <c r="C2271">
        <v>3</v>
      </c>
      <c r="D2271" s="1" t="s">
        <v>1207</v>
      </c>
      <c r="E2271">
        <v>10</v>
      </c>
    </row>
    <row r="2272" spans="1:5" x14ac:dyDescent="0.2">
      <c r="A2272">
        <v>10039708</v>
      </c>
      <c r="B2272">
        <v>20093566</v>
      </c>
      <c r="C2272">
        <v>12</v>
      </c>
      <c r="D2272" s="1" t="s">
        <v>884</v>
      </c>
      <c r="E2272">
        <v>10</v>
      </c>
    </row>
    <row r="2273" spans="1:5" x14ac:dyDescent="0.2">
      <c r="A2273">
        <v>10039708</v>
      </c>
      <c r="B2273">
        <v>20093566</v>
      </c>
      <c r="C2273">
        <v>16</v>
      </c>
      <c r="D2273" s="1" t="s">
        <v>560</v>
      </c>
      <c r="E2273">
        <v>10</v>
      </c>
    </row>
    <row r="2274" spans="1:5" x14ac:dyDescent="0.2">
      <c r="A2274">
        <v>10039708</v>
      </c>
      <c r="B2274">
        <v>20093566</v>
      </c>
      <c r="C2274">
        <v>6</v>
      </c>
      <c r="D2274" s="1" t="s">
        <v>994</v>
      </c>
      <c r="E2274">
        <v>10</v>
      </c>
    </row>
    <row r="2275" spans="1:5" x14ac:dyDescent="0.2">
      <c r="A2275">
        <v>10039708</v>
      </c>
      <c r="B2275">
        <v>20093566</v>
      </c>
      <c r="C2275">
        <v>7</v>
      </c>
      <c r="D2275" s="1" t="s">
        <v>334</v>
      </c>
      <c r="E2275">
        <v>10</v>
      </c>
    </row>
    <row r="2276" spans="1:5" x14ac:dyDescent="0.2">
      <c r="A2276">
        <v>10039708</v>
      </c>
      <c r="B2276">
        <v>20093566</v>
      </c>
      <c r="C2276">
        <v>15</v>
      </c>
      <c r="D2276" s="1" t="s">
        <v>519</v>
      </c>
      <c r="E2276">
        <v>10</v>
      </c>
    </row>
    <row r="2277" spans="1:5" x14ac:dyDescent="0.2">
      <c r="A2277">
        <v>10039708</v>
      </c>
      <c r="B2277">
        <v>20093566</v>
      </c>
      <c r="C2277">
        <v>28</v>
      </c>
      <c r="D2277" s="1" t="s">
        <v>1208</v>
      </c>
      <c r="E2277">
        <v>10</v>
      </c>
    </row>
    <row r="2278" spans="1:5" x14ac:dyDescent="0.2">
      <c r="A2278">
        <v>10039708</v>
      </c>
      <c r="B2278">
        <v>20093566</v>
      </c>
      <c r="C2278">
        <v>9</v>
      </c>
      <c r="D2278" s="1" t="s">
        <v>625</v>
      </c>
      <c r="E2278">
        <v>10</v>
      </c>
    </row>
    <row r="2279" spans="1:5" x14ac:dyDescent="0.2">
      <c r="A2279">
        <v>10039708</v>
      </c>
      <c r="B2279">
        <v>29488258</v>
      </c>
      <c r="C2279">
        <v>4</v>
      </c>
      <c r="D2279" s="1" t="s">
        <v>926</v>
      </c>
      <c r="E2279">
        <v>10</v>
      </c>
    </row>
    <row r="2280" spans="1:5" x14ac:dyDescent="0.2">
      <c r="A2280">
        <v>10039708</v>
      </c>
      <c r="B2280">
        <v>29488258</v>
      </c>
      <c r="C2280">
        <v>8</v>
      </c>
      <c r="D2280" s="1" t="s">
        <v>560</v>
      </c>
      <c r="E2280">
        <v>10</v>
      </c>
    </row>
    <row r="2281" spans="1:5" x14ac:dyDescent="0.2">
      <c r="A2281">
        <v>10039708</v>
      </c>
      <c r="B2281">
        <v>29488258</v>
      </c>
      <c r="C2281">
        <v>13</v>
      </c>
      <c r="D2281" s="1" t="s">
        <v>1209</v>
      </c>
      <c r="E2281">
        <v>10</v>
      </c>
    </row>
    <row r="2282" spans="1:5" x14ac:dyDescent="0.2">
      <c r="A2282">
        <v>10039708</v>
      </c>
      <c r="B2282">
        <v>29488258</v>
      </c>
      <c r="C2282">
        <v>9</v>
      </c>
      <c r="D2282" s="1" t="s">
        <v>574</v>
      </c>
      <c r="E2282">
        <v>10</v>
      </c>
    </row>
    <row r="2283" spans="1:5" x14ac:dyDescent="0.2">
      <c r="A2283">
        <v>10039708</v>
      </c>
      <c r="B2283">
        <v>29488258</v>
      </c>
      <c r="C2283">
        <v>11</v>
      </c>
      <c r="D2283" s="1" t="s">
        <v>884</v>
      </c>
      <c r="E2283">
        <v>10</v>
      </c>
    </row>
    <row r="2284" spans="1:5" x14ac:dyDescent="0.2">
      <c r="A2284">
        <v>10039708</v>
      </c>
      <c r="B2284">
        <v>29488258</v>
      </c>
      <c r="C2284">
        <v>5</v>
      </c>
      <c r="D2284" s="1" t="s">
        <v>1185</v>
      </c>
      <c r="E2284">
        <v>10</v>
      </c>
    </row>
    <row r="2285" spans="1:5" x14ac:dyDescent="0.2">
      <c r="A2285">
        <v>10039708</v>
      </c>
      <c r="B2285">
        <v>29488258</v>
      </c>
      <c r="C2285">
        <v>10</v>
      </c>
      <c r="D2285" s="1" t="s">
        <v>312</v>
      </c>
      <c r="E2285">
        <v>10</v>
      </c>
    </row>
    <row r="2286" spans="1:5" x14ac:dyDescent="0.2">
      <c r="A2286">
        <v>10039708</v>
      </c>
      <c r="B2286">
        <v>29488258</v>
      </c>
      <c r="C2286">
        <v>3</v>
      </c>
      <c r="D2286" s="1" t="s">
        <v>1210</v>
      </c>
      <c r="E2286">
        <v>10</v>
      </c>
    </row>
    <row r="2287" spans="1:5" x14ac:dyDescent="0.2">
      <c r="A2287">
        <v>10039708</v>
      </c>
      <c r="B2287">
        <v>29488258</v>
      </c>
      <c r="C2287">
        <v>2</v>
      </c>
      <c r="D2287" s="1" t="s">
        <v>882</v>
      </c>
      <c r="E2287">
        <v>10</v>
      </c>
    </row>
    <row r="2288" spans="1:5" x14ac:dyDescent="0.2">
      <c r="A2288">
        <v>10039708</v>
      </c>
      <c r="B2288">
        <v>29488258</v>
      </c>
      <c r="C2288">
        <v>12</v>
      </c>
      <c r="D2288" s="1" t="s">
        <v>752</v>
      </c>
      <c r="E2288">
        <v>10</v>
      </c>
    </row>
    <row r="2289" spans="1:5" x14ac:dyDescent="0.2">
      <c r="A2289">
        <v>10039708</v>
      </c>
      <c r="B2289">
        <v>29488258</v>
      </c>
      <c r="C2289">
        <v>7</v>
      </c>
      <c r="D2289" s="1" t="s">
        <v>1211</v>
      </c>
      <c r="E2289">
        <v>10</v>
      </c>
    </row>
    <row r="2290" spans="1:5" x14ac:dyDescent="0.2">
      <c r="A2290">
        <v>10039708</v>
      </c>
      <c r="B2290">
        <v>29488258</v>
      </c>
      <c r="C2290">
        <v>6</v>
      </c>
      <c r="D2290" s="1" t="s">
        <v>519</v>
      </c>
      <c r="E2290">
        <v>10</v>
      </c>
    </row>
    <row r="2291" spans="1:5" x14ac:dyDescent="0.2">
      <c r="A2291">
        <v>10039708</v>
      </c>
      <c r="B2291">
        <v>29488258</v>
      </c>
      <c r="C2291">
        <v>1</v>
      </c>
      <c r="D2291" s="1" t="s">
        <v>915</v>
      </c>
      <c r="E2291">
        <v>10</v>
      </c>
    </row>
    <row r="2292" spans="1:5" x14ac:dyDescent="0.2">
      <c r="A2292">
        <v>10039708</v>
      </c>
      <c r="B2292">
        <v>26793610</v>
      </c>
      <c r="C2292">
        <v>7</v>
      </c>
      <c r="D2292" s="1" t="s">
        <v>560</v>
      </c>
      <c r="E2292">
        <v>10</v>
      </c>
    </row>
    <row r="2293" spans="1:5" x14ac:dyDescent="0.2">
      <c r="A2293">
        <v>10039708</v>
      </c>
      <c r="B2293">
        <v>26793610</v>
      </c>
      <c r="C2293">
        <v>9</v>
      </c>
      <c r="D2293" s="1" t="s">
        <v>574</v>
      </c>
      <c r="E2293">
        <v>10</v>
      </c>
    </row>
    <row r="2294" spans="1:5" x14ac:dyDescent="0.2">
      <c r="A2294">
        <v>10039708</v>
      </c>
      <c r="B2294">
        <v>26793610</v>
      </c>
      <c r="C2294">
        <v>2</v>
      </c>
      <c r="D2294" s="1" t="s">
        <v>625</v>
      </c>
      <c r="E2294">
        <v>10</v>
      </c>
    </row>
    <row r="2295" spans="1:5" x14ac:dyDescent="0.2">
      <c r="A2295">
        <v>10039708</v>
      </c>
      <c r="B2295">
        <v>26793610</v>
      </c>
      <c r="C2295">
        <v>1</v>
      </c>
      <c r="D2295" s="1" t="s">
        <v>423</v>
      </c>
      <c r="E2295">
        <v>10</v>
      </c>
    </row>
    <row r="2296" spans="1:5" x14ac:dyDescent="0.2">
      <c r="A2296">
        <v>10039708</v>
      </c>
      <c r="B2296">
        <v>26793610</v>
      </c>
      <c r="C2296">
        <v>4</v>
      </c>
      <c r="D2296" s="1" t="s">
        <v>630</v>
      </c>
      <c r="E2296">
        <v>10</v>
      </c>
    </row>
    <row r="2297" spans="1:5" x14ac:dyDescent="0.2">
      <c r="A2297">
        <v>10039708</v>
      </c>
      <c r="B2297">
        <v>26793610</v>
      </c>
      <c r="C2297">
        <v>10</v>
      </c>
      <c r="D2297" s="1" t="s">
        <v>893</v>
      </c>
      <c r="E2297">
        <v>10</v>
      </c>
    </row>
    <row r="2298" spans="1:5" x14ac:dyDescent="0.2">
      <c r="A2298">
        <v>10039708</v>
      </c>
      <c r="B2298">
        <v>26793610</v>
      </c>
      <c r="C2298">
        <v>5</v>
      </c>
      <c r="D2298" s="1" t="s">
        <v>621</v>
      </c>
      <c r="E2298">
        <v>10</v>
      </c>
    </row>
    <row r="2299" spans="1:5" x14ac:dyDescent="0.2">
      <c r="A2299">
        <v>10039708</v>
      </c>
      <c r="B2299">
        <v>26793610</v>
      </c>
      <c r="C2299">
        <v>8</v>
      </c>
      <c r="D2299" s="1" t="s">
        <v>1212</v>
      </c>
      <c r="E2299">
        <v>10</v>
      </c>
    </row>
    <row r="2300" spans="1:5" x14ac:dyDescent="0.2">
      <c r="A2300">
        <v>10039708</v>
      </c>
      <c r="B2300">
        <v>26793610</v>
      </c>
      <c r="C2300">
        <v>6</v>
      </c>
      <c r="D2300" s="1" t="s">
        <v>1169</v>
      </c>
      <c r="E2300">
        <v>10</v>
      </c>
    </row>
    <row r="2301" spans="1:5" x14ac:dyDescent="0.2">
      <c r="A2301">
        <v>10039708</v>
      </c>
      <c r="B2301">
        <v>26793610</v>
      </c>
      <c r="C2301">
        <v>3</v>
      </c>
      <c r="D2301" s="1" t="s">
        <v>325</v>
      </c>
      <c r="E2301">
        <v>10</v>
      </c>
    </row>
    <row r="2302" spans="1:5" x14ac:dyDescent="0.2">
      <c r="A2302">
        <v>10039708</v>
      </c>
      <c r="B2302">
        <v>24928679</v>
      </c>
      <c r="C2302">
        <v>22</v>
      </c>
      <c r="D2302" s="1" t="s">
        <v>884</v>
      </c>
      <c r="E2302">
        <v>10</v>
      </c>
    </row>
    <row r="2303" spans="1:5" x14ac:dyDescent="0.2">
      <c r="A2303">
        <v>10039708</v>
      </c>
      <c r="B2303">
        <v>24928679</v>
      </c>
      <c r="C2303">
        <v>20</v>
      </c>
      <c r="D2303" s="1" t="s">
        <v>313</v>
      </c>
      <c r="E2303">
        <v>10</v>
      </c>
    </row>
    <row r="2304" spans="1:5" x14ac:dyDescent="0.2">
      <c r="A2304">
        <v>10039708</v>
      </c>
      <c r="B2304">
        <v>24928679</v>
      </c>
      <c r="C2304">
        <v>23</v>
      </c>
      <c r="D2304" s="1" t="s">
        <v>752</v>
      </c>
      <c r="E2304">
        <v>10</v>
      </c>
    </row>
    <row r="2305" spans="1:5" x14ac:dyDescent="0.2">
      <c r="A2305">
        <v>10039708</v>
      </c>
      <c r="B2305">
        <v>24928679</v>
      </c>
      <c r="C2305">
        <v>4</v>
      </c>
      <c r="D2305" s="1" t="s">
        <v>882</v>
      </c>
      <c r="E2305">
        <v>10</v>
      </c>
    </row>
    <row r="2306" spans="1:5" x14ac:dyDescent="0.2">
      <c r="A2306">
        <v>10039708</v>
      </c>
      <c r="B2306">
        <v>24928679</v>
      </c>
      <c r="C2306">
        <v>25</v>
      </c>
      <c r="D2306" s="1" t="s">
        <v>1213</v>
      </c>
      <c r="E2306">
        <v>10</v>
      </c>
    </row>
    <row r="2307" spans="1:5" x14ac:dyDescent="0.2">
      <c r="A2307">
        <v>10039708</v>
      </c>
      <c r="B2307">
        <v>24928679</v>
      </c>
      <c r="C2307">
        <v>21</v>
      </c>
      <c r="D2307" s="1" t="s">
        <v>574</v>
      </c>
      <c r="E2307">
        <v>10</v>
      </c>
    </row>
    <row r="2308" spans="1:5" x14ac:dyDescent="0.2">
      <c r="A2308">
        <v>10039708</v>
      </c>
      <c r="B2308">
        <v>24928679</v>
      </c>
      <c r="C2308">
        <v>3</v>
      </c>
      <c r="D2308" s="1" t="s">
        <v>618</v>
      </c>
      <c r="E2308">
        <v>10</v>
      </c>
    </row>
    <row r="2309" spans="1:5" x14ac:dyDescent="0.2">
      <c r="A2309">
        <v>10039708</v>
      </c>
      <c r="B2309">
        <v>24928679</v>
      </c>
      <c r="C2309">
        <v>12</v>
      </c>
      <c r="D2309" s="1" t="s">
        <v>927</v>
      </c>
      <c r="E2309">
        <v>10</v>
      </c>
    </row>
    <row r="2310" spans="1:5" x14ac:dyDescent="0.2">
      <c r="A2310">
        <v>10039708</v>
      </c>
      <c r="B2310">
        <v>24928679</v>
      </c>
      <c r="C2310">
        <v>5</v>
      </c>
      <c r="D2310" s="1" t="s">
        <v>1214</v>
      </c>
      <c r="E2310">
        <v>10</v>
      </c>
    </row>
    <row r="2311" spans="1:5" x14ac:dyDescent="0.2">
      <c r="A2311">
        <v>10039708</v>
      </c>
      <c r="B2311">
        <v>24928679</v>
      </c>
      <c r="C2311">
        <v>24</v>
      </c>
      <c r="D2311" s="1" t="s">
        <v>1077</v>
      </c>
      <c r="E2311">
        <v>10</v>
      </c>
    </row>
    <row r="2312" spans="1:5" x14ac:dyDescent="0.2">
      <c r="A2312">
        <v>10039708</v>
      </c>
      <c r="B2312">
        <v>24928679</v>
      </c>
      <c r="C2312">
        <v>11</v>
      </c>
      <c r="D2312" s="1" t="s">
        <v>1212</v>
      </c>
      <c r="E2312">
        <v>10</v>
      </c>
    </row>
    <row r="2313" spans="1:5" x14ac:dyDescent="0.2">
      <c r="A2313">
        <v>10039708</v>
      </c>
      <c r="B2313">
        <v>24928679</v>
      </c>
      <c r="C2313">
        <v>15</v>
      </c>
      <c r="D2313" s="1" t="s">
        <v>1215</v>
      </c>
      <c r="E2313">
        <v>10</v>
      </c>
    </row>
    <row r="2314" spans="1:5" x14ac:dyDescent="0.2">
      <c r="A2314">
        <v>10039708</v>
      </c>
      <c r="B2314">
        <v>24928679</v>
      </c>
      <c r="C2314">
        <v>7</v>
      </c>
      <c r="D2314" s="1" t="s">
        <v>1216</v>
      </c>
      <c r="E2314">
        <v>10</v>
      </c>
    </row>
    <row r="2315" spans="1:5" x14ac:dyDescent="0.2">
      <c r="A2315">
        <v>10039708</v>
      </c>
      <c r="B2315">
        <v>24928679</v>
      </c>
      <c r="C2315">
        <v>2</v>
      </c>
      <c r="D2315" s="1" t="s">
        <v>1217</v>
      </c>
      <c r="E2315">
        <v>10</v>
      </c>
    </row>
    <row r="2316" spans="1:5" x14ac:dyDescent="0.2">
      <c r="A2316">
        <v>10039708</v>
      </c>
      <c r="B2316">
        <v>24928679</v>
      </c>
      <c r="C2316">
        <v>19</v>
      </c>
      <c r="D2316" s="1" t="s">
        <v>1218</v>
      </c>
      <c r="E2316">
        <v>10</v>
      </c>
    </row>
    <row r="2317" spans="1:5" x14ac:dyDescent="0.2">
      <c r="A2317">
        <v>10039708</v>
      </c>
      <c r="B2317">
        <v>24928679</v>
      </c>
      <c r="C2317">
        <v>17</v>
      </c>
      <c r="D2317" s="1" t="s">
        <v>1024</v>
      </c>
      <c r="E2317">
        <v>10</v>
      </c>
    </row>
    <row r="2318" spans="1:5" x14ac:dyDescent="0.2">
      <c r="A2318">
        <v>10039708</v>
      </c>
      <c r="B2318">
        <v>24928679</v>
      </c>
      <c r="C2318">
        <v>14</v>
      </c>
      <c r="D2318" s="1" t="s">
        <v>1102</v>
      </c>
      <c r="E2318">
        <v>10</v>
      </c>
    </row>
    <row r="2319" spans="1:5" x14ac:dyDescent="0.2">
      <c r="A2319">
        <v>10039708</v>
      </c>
      <c r="B2319">
        <v>24928679</v>
      </c>
      <c r="C2319">
        <v>18</v>
      </c>
      <c r="D2319" s="1" t="s">
        <v>995</v>
      </c>
      <c r="E2319">
        <v>10</v>
      </c>
    </row>
    <row r="2320" spans="1:5" x14ac:dyDescent="0.2">
      <c r="A2320">
        <v>10039708</v>
      </c>
      <c r="B2320">
        <v>24928679</v>
      </c>
      <c r="C2320">
        <v>10</v>
      </c>
      <c r="D2320" s="1" t="s">
        <v>1161</v>
      </c>
      <c r="E2320">
        <v>10</v>
      </c>
    </row>
    <row r="2321" spans="1:5" x14ac:dyDescent="0.2">
      <c r="A2321">
        <v>10039708</v>
      </c>
      <c r="B2321">
        <v>24928679</v>
      </c>
      <c r="C2321">
        <v>9</v>
      </c>
      <c r="D2321" s="1" t="s">
        <v>1205</v>
      </c>
      <c r="E2321">
        <v>10</v>
      </c>
    </row>
    <row r="2322" spans="1:5" x14ac:dyDescent="0.2">
      <c r="A2322">
        <v>10039708</v>
      </c>
      <c r="B2322">
        <v>24928679</v>
      </c>
      <c r="C2322">
        <v>16</v>
      </c>
      <c r="D2322" s="1" t="s">
        <v>1136</v>
      </c>
      <c r="E2322">
        <v>10</v>
      </c>
    </row>
    <row r="2323" spans="1:5" x14ac:dyDescent="0.2">
      <c r="A2323">
        <v>10039708</v>
      </c>
      <c r="B2323">
        <v>24928679</v>
      </c>
      <c r="C2323">
        <v>13</v>
      </c>
      <c r="D2323" s="1" t="s">
        <v>560</v>
      </c>
      <c r="E2323">
        <v>10</v>
      </c>
    </row>
    <row r="2324" spans="1:5" x14ac:dyDescent="0.2">
      <c r="A2324">
        <v>10039708</v>
      </c>
      <c r="B2324">
        <v>24928679</v>
      </c>
      <c r="C2324">
        <v>1</v>
      </c>
      <c r="D2324" s="1" t="s">
        <v>912</v>
      </c>
      <c r="E2324">
        <v>10</v>
      </c>
    </row>
    <row r="2325" spans="1:5" x14ac:dyDescent="0.2">
      <c r="A2325">
        <v>10039708</v>
      </c>
      <c r="B2325">
        <v>24928679</v>
      </c>
      <c r="C2325">
        <v>6</v>
      </c>
      <c r="D2325" s="1" t="s">
        <v>334</v>
      </c>
      <c r="E2325">
        <v>10</v>
      </c>
    </row>
    <row r="2326" spans="1:5" x14ac:dyDescent="0.2">
      <c r="A2326">
        <v>10039708</v>
      </c>
      <c r="B2326">
        <v>24928679</v>
      </c>
      <c r="C2326">
        <v>8</v>
      </c>
      <c r="D2326" s="1" t="s">
        <v>625</v>
      </c>
      <c r="E2326">
        <v>10</v>
      </c>
    </row>
    <row r="2327" spans="1:5" x14ac:dyDescent="0.2">
      <c r="A2327">
        <v>10039708</v>
      </c>
      <c r="B2327">
        <v>27504040</v>
      </c>
      <c r="C2327">
        <v>13</v>
      </c>
      <c r="D2327" s="1" t="s">
        <v>574</v>
      </c>
      <c r="E2327">
        <v>10</v>
      </c>
    </row>
    <row r="2328" spans="1:5" x14ac:dyDescent="0.2">
      <c r="A2328">
        <v>10039708</v>
      </c>
      <c r="B2328">
        <v>27504040</v>
      </c>
      <c r="C2328">
        <v>1</v>
      </c>
      <c r="D2328" s="1" t="s">
        <v>994</v>
      </c>
      <c r="E2328">
        <v>10</v>
      </c>
    </row>
    <row r="2329" spans="1:5" x14ac:dyDescent="0.2">
      <c r="A2329">
        <v>10039708</v>
      </c>
      <c r="B2329">
        <v>27504040</v>
      </c>
      <c r="C2329">
        <v>4</v>
      </c>
      <c r="D2329" s="1" t="s">
        <v>1185</v>
      </c>
      <c r="E2329">
        <v>10</v>
      </c>
    </row>
    <row r="2330" spans="1:5" x14ac:dyDescent="0.2">
      <c r="A2330">
        <v>10039708</v>
      </c>
      <c r="B2330">
        <v>27504040</v>
      </c>
      <c r="C2330">
        <v>7</v>
      </c>
      <c r="D2330" s="1" t="s">
        <v>519</v>
      </c>
      <c r="E2330">
        <v>10</v>
      </c>
    </row>
    <row r="2331" spans="1:5" x14ac:dyDescent="0.2">
      <c r="A2331">
        <v>10039708</v>
      </c>
      <c r="B2331">
        <v>27504040</v>
      </c>
      <c r="C2331">
        <v>2</v>
      </c>
      <c r="D2331" s="1" t="s">
        <v>882</v>
      </c>
      <c r="E2331">
        <v>10</v>
      </c>
    </row>
    <row r="2332" spans="1:5" x14ac:dyDescent="0.2">
      <c r="A2332">
        <v>10039708</v>
      </c>
      <c r="B2332">
        <v>27504040</v>
      </c>
      <c r="C2332">
        <v>14</v>
      </c>
      <c r="D2332" s="1" t="s">
        <v>309</v>
      </c>
      <c r="E2332">
        <v>10</v>
      </c>
    </row>
    <row r="2333" spans="1:5" x14ac:dyDescent="0.2">
      <c r="A2333">
        <v>10039708</v>
      </c>
      <c r="B2333">
        <v>27504040</v>
      </c>
      <c r="C2333">
        <v>10</v>
      </c>
      <c r="D2333" s="1" t="s">
        <v>1216</v>
      </c>
      <c r="E2333">
        <v>10</v>
      </c>
    </row>
    <row r="2334" spans="1:5" x14ac:dyDescent="0.2">
      <c r="A2334">
        <v>10039708</v>
      </c>
      <c r="B2334">
        <v>27504040</v>
      </c>
      <c r="C2334">
        <v>5</v>
      </c>
      <c r="D2334" s="1" t="s">
        <v>1173</v>
      </c>
      <c r="E2334">
        <v>10</v>
      </c>
    </row>
    <row r="2335" spans="1:5" x14ac:dyDescent="0.2">
      <c r="A2335">
        <v>10039708</v>
      </c>
      <c r="B2335">
        <v>27504040</v>
      </c>
      <c r="C2335">
        <v>12</v>
      </c>
      <c r="D2335" s="1" t="s">
        <v>560</v>
      </c>
      <c r="E2335">
        <v>10</v>
      </c>
    </row>
    <row r="2336" spans="1:5" x14ac:dyDescent="0.2">
      <c r="A2336">
        <v>10039708</v>
      </c>
      <c r="B2336">
        <v>27504040</v>
      </c>
      <c r="C2336">
        <v>3</v>
      </c>
      <c r="D2336" s="1" t="s">
        <v>884</v>
      </c>
      <c r="E2336">
        <v>10</v>
      </c>
    </row>
    <row r="2337" spans="1:5" x14ac:dyDescent="0.2">
      <c r="A2337">
        <v>10039708</v>
      </c>
      <c r="B2337">
        <v>27504040</v>
      </c>
      <c r="C2337">
        <v>9</v>
      </c>
      <c r="D2337" s="1" t="s">
        <v>1102</v>
      </c>
      <c r="E2337">
        <v>10</v>
      </c>
    </row>
    <row r="2338" spans="1:5" x14ac:dyDescent="0.2">
      <c r="A2338">
        <v>10039708</v>
      </c>
      <c r="B2338">
        <v>27504040</v>
      </c>
      <c r="C2338">
        <v>8</v>
      </c>
      <c r="D2338" s="1" t="s">
        <v>883</v>
      </c>
      <c r="E2338">
        <v>10</v>
      </c>
    </row>
    <row r="2339" spans="1:5" x14ac:dyDescent="0.2">
      <c r="A2339">
        <v>10039708</v>
      </c>
      <c r="B2339">
        <v>27504040</v>
      </c>
      <c r="C2339">
        <v>11</v>
      </c>
      <c r="D2339" s="1" t="s">
        <v>752</v>
      </c>
      <c r="E2339">
        <v>10</v>
      </c>
    </row>
    <row r="2340" spans="1:5" x14ac:dyDescent="0.2">
      <c r="A2340">
        <v>10039708</v>
      </c>
      <c r="B2340">
        <v>27504040</v>
      </c>
      <c r="C2340">
        <v>6</v>
      </c>
      <c r="D2340" s="1" t="s">
        <v>618</v>
      </c>
      <c r="E2340">
        <v>10</v>
      </c>
    </row>
    <row r="2341" spans="1:5" x14ac:dyDescent="0.2">
      <c r="A2341">
        <v>10039708</v>
      </c>
      <c r="B2341">
        <v>25864431</v>
      </c>
      <c r="C2341">
        <v>21</v>
      </c>
      <c r="D2341" s="1" t="s">
        <v>574</v>
      </c>
      <c r="E2341">
        <v>10</v>
      </c>
    </row>
    <row r="2342" spans="1:5" x14ac:dyDescent="0.2">
      <c r="A2342">
        <v>10039708</v>
      </c>
      <c r="B2342">
        <v>25864431</v>
      </c>
      <c r="C2342">
        <v>25</v>
      </c>
      <c r="D2342" s="1" t="s">
        <v>752</v>
      </c>
      <c r="E2342">
        <v>10</v>
      </c>
    </row>
    <row r="2343" spans="1:5" x14ac:dyDescent="0.2">
      <c r="A2343">
        <v>10039708</v>
      </c>
      <c r="B2343">
        <v>25864431</v>
      </c>
      <c r="C2343">
        <v>1</v>
      </c>
      <c r="D2343" s="1" t="s">
        <v>915</v>
      </c>
      <c r="E2343">
        <v>10</v>
      </c>
    </row>
    <row r="2344" spans="1:5" x14ac:dyDescent="0.2">
      <c r="A2344">
        <v>10039708</v>
      </c>
      <c r="B2344">
        <v>25864431</v>
      </c>
      <c r="C2344">
        <v>2</v>
      </c>
      <c r="D2344" s="1" t="s">
        <v>1219</v>
      </c>
      <c r="E2344">
        <v>10</v>
      </c>
    </row>
    <row r="2345" spans="1:5" x14ac:dyDescent="0.2">
      <c r="A2345">
        <v>10039708</v>
      </c>
      <c r="B2345">
        <v>25864431</v>
      </c>
      <c r="C2345">
        <v>3</v>
      </c>
      <c r="D2345" s="1" t="s">
        <v>618</v>
      </c>
      <c r="E2345">
        <v>10</v>
      </c>
    </row>
    <row r="2346" spans="1:5" x14ac:dyDescent="0.2">
      <c r="A2346">
        <v>10039708</v>
      </c>
      <c r="B2346">
        <v>25864431</v>
      </c>
      <c r="C2346">
        <v>6</v>
      </c>
      <c r="D2346" s="1" t="s">
        <v>1220</v>
      </c>
      <c r="E2346">
        <v>10</v>
      </c>
    </row>
    <row r="2347" spans="1:5" x14ac:dyDescent="0.2">
      <c r="A2347">
        <v>10039708</v>
      </c>
      <c r="B2347">
        <v>25864431</v>
      </c>
      <c r="C2347">
        <v>16</v>
      </c>
      <c r="D2347" s="1" t="s">
        <v>1169</v>
      </c>
      <c r="E2347">
        <v>10</v>
      </c>
    </row>
    <row r="2348" spans="1:5" x14ac:dyDescent="0.2">
      <c r="A2348">
        <v>10039708</v>
      </c>
      <c r="B2348">
        <v>25864431</v>
      </c>
      <c r="C2348">
        <v>14</v>
      </c>
      <c r="D2348" s="1" t="s">
        <v>1221</v>
      </c>
      <c r="E2348">
        <v>10</v>
      </c>
    </row>
    <row r="2349" spans="1:5" x14ac:dyDescent="0.2">
      <c r="A2349">
        <v>10039708</v>
      </c>
      <c r="B2349">
        <v>25864431</v>
      </c>
      <c r="C2349">
        <v>18</v>
      </c>
      <c r="D2349" s="1" t="s">
        <v>560</v>
      </c>
      <c r="E2349">
        <v>10</v>
      </c>
    </row>
    <row r="2350" spans="1:5" x14ac:dyDescent="0.2">
      <c r="A2350">
        <v>10039708</v>
      </c>
      <c r="B2350">
        <v>25864431</v>
      </c>
      <c r="C2350">
        <v>22</v>
      </c>
      <c r="D2350" s="1" t="s">
        <v>332</v>
      </c>
      <c r="E2350">
        <v>10</v>
      </c>
    </row>
    <row r="2351" spans="1:5" x14ac:dyDescent="0.2">
      <c r="A2351">
        <v>10039708</v>
      </c>
      <c r="B2351">
        <v>25864431</v>
      </c>
      <c r="C2351">
        <v>26</v>
      </c>
      <c r="D2351" s="1" t="s">
        <v>1222</v>
      </c>
      <c r="E2351">
        <v>10</v>
      </c>
    </row>
    <row r="2352" spans="1:5" x14ac:dyDescent="0.2">
      <c r="A2352">
        <v>10039708</v>
      </c>
      <c r="B2352">
        <v>25864431</v>
      </c>
      <c r="C2352">
        <v>23</v>
      </c>
      <c r="D2352" s="1" t="s">
        <v>563</v>
      </c>
      <c r="E2352">
        <v>10</v>
      </c>
    </row>
    <row r="2353" spans="1:5" x14ac:dyDescent="0.2">
      <c r="A2353">
        <v>10039708</v>
      </c>
      <c r="B2353">
        <v>25864431</v>
      </c>
      <c r="C2353">
        <v>20</v>
      </c>
      <c r="D2353" s="1" t="s">
        <v>621</v>
      </c>
      <c r="E2353">
        <v>10</v>
      </c>
    </row>
    <row r="2354" spans="1:5" x14ac:dyDescent="0.2">
      <c r="A2354">
        <v>10039708</v>
      </c>
      <c r="B2354">
        <v>25864431</v>
      </c>
      <c r="C2354">
        <v>5</v>
      </c>
      <c r="D2354" s="1" t="s">
        <v>561</v>
      </c>
      <c r="E2354">
        <v>10</v>
      </c>
    </row>
    <row r="2355" spans="1:5" x14ac:dyDescent="0.2">
      <c r="A2355">
        <v>10039708</v>
      </c>
      <c r="B2355">
        <v>25864431</v>
      </c>
      <c r="C2355">
        <v>24</v>
      </c>
      <c r="D2355" s="1" t="s">
        <v>1077</v>
      </c>
      <c r="E2355">
        <v>10</v>
      </c>
    </row>
    <row r="2356" spans="1:5" x14ac:dyDescent="0.2">
      <c r="A2356">
        <v>10039708</v>
      </c>
      <c r="B2356">
        <v>25864431</v>
      </c>
      <c r="C2356">
        <v>15</v>
      </c>
      <c r="D2356" s="1" t="s">
        <v>912</v>
      </c>
      <c r="E2356">
        <v>10</v>
      </c>
    </row>
    <row r="2357" spans="1:5" x14ac:dyDescent="0.2">
      <c r="A2357">
        <v>10039708</v>
      </c>
      <c r="B2357">
        <v>25864431</v>
      </c>
      <c r="C2357">
        <v>17</v>
      </c>
      <c r="D2357" s="1" t="s">
        <v>1102</v>
      </c>
      <c r="E2357">
        <v>10</v>
      </c>
    </row>
    <row r="2358" spans="1:5" x14ac:dyDescent="0.2">
      <c r="A2358">
        <v>10039708</v>
      </c>
      <c r="B2358">
        <v>25864431</v>
      </c>
      <c r="C2358">
        <v>7</v>
      </c>
      <c r="D2358" s="1" t="s">
        <v>1223</v>
      </c>
      <c r="E2358">
        <v>10</v>
      </c>
    </row>
    <row r="2359" spans="1:5" x14ac:dyDescent="0.2">
      <c r="A2359">
        <v>10039708</v>
      </c>
      <c r="B2359">
        <v>25864431</v>
      </c>
      <c r="C2359">
        <v>13</v>
      </c>
      <c r="D2359" s="1" t="s">
        <v>927</v>
      </c>
      <c r="E2359">
        <v>10</v>
      </c>
    </row>
    <row r="2360" spans="1:5" x14ac:dyDescent="0.2">
      <c r="A2360">
        <v>10039708</v>
      </c>
      <c r="B2360">
        <v>25864431</v>
      </c>
      <c r="C2360">
        <v>19</v>
      </c>
      <c r="D2360" s="1" t="s">
        <v>1212</v>
      </c>
      <c r="E2360">
        <v>10</v>
      </c>
    </row>
    <row r="2361" spans="1:5" x14ac:dyDescent="0.2">
      <c r="A2361">
        <v>10039708</v>
      </c>
      <c r="B2361">
        <v>25864431</v>
      </c>
      <c r="C2361">
        <v>4</v>
      </c>
      <c r="D2361" s="1" t="s">
        <v>615</v>
      </c>
      <c r="E2361">
        <v>10</v>
      </c>
    </row>
    <row r="2362" spans="1:5" x14ac:dyDescent="0.2">
      <c r="A2362">
        <v>10039708</v>
      </c>
      <c r="B2362">
        <v>25864431</v>
      </c>
      <c r="C2362">
        <v>8</v>
      </c>
      <c r="D2362" s="1" t="s">
        <v>1224</v>
      </c>
      <c r="E2362">
        <v>10</v>
      </c>
    </row>
    <row r="2363" spans="1:5" x14ac:dyDescent="0.2">
      <c r="A2363">
        <v>10039708</v>
      </c>
      <c r="B2363">
        <v>25864431</v>
      </c>
      <c r="C2363">
        <v>11</v>
      </c>
      <c r="D2363" s="1" t="s">
        <v>926</v>
      </c>
      <c r="E2363">
        <v>10</v>
      </c>
    </row>
    <row r="2364" spans="1:5" x14ac:dyDescent="0.2">
      <c r="A2364">
        <v>10039708</v>
      </c>
      <c r="B2364">
        <v>25864431</v>
      </c>
      <c r="C2364">
        <v>12</v>
      </c>
      <c r="D2364" s="1" t="s">
        <v>1225</v>
      </c>
      <c r="E2364">
        <v>10</v>
      </c>
    </row>
    <row r="2365" spans="1:5" x14ac:dyDescent="0.2">
      <c r="A2365">
        <v>10039708</v>
      </c>
      <c r="B2365">
        <v>25864431</v>
      </c>
      <c r="C2365">
        <v>10</v>
      </c>
      <c r="D2365" s="1" t="s">
        <v>334</v>
      </c>
      <c r="E2365">
        <v>10</v>
      </c>
    </row>
    <row r="2366" spans="1:5" x14ac:dyDescent="0.2">
      <c r="A2366">
        <v>10039708</v>
      </c>
      <c r="B2366">
        <v>25864431</v>
      </c>
      <c r="C2366">
        <v>9</v>
      </c>
      <c r="D2366" s="1" t="s">
        <v>423</v>
      </c>
      <c r="E2366">
        <v>10</v>
      </c>
    </row>
    <row r="2367" spans="1:5" x14ac:dyDescent="0.2">
      <c r="A2367">
        <v>10000032</v>
      </c>
      <c r="B2367">
        <v>22841357</v>
      </c>
      <c r="C2367">
        <v>4</v>
      </c>
      <c r="D2367" s="1" t="s">
        <v>390</v>
      </c>
      <c r="E2367">
        <v>9</v>
      </c>
    </row>
    <row r="2368" spans="1:5" x14ac:dyDescent="0.2">
      <c r="A2368">
        <v>10000032</v>
      </c>
      <c r="B2368">
        <v>22841357</v>
      </c>
      <c r="C2368">
        <v>7</v>
      </c>
      <c r="D2368" s="1" t="s">
        <v>1226</v>
      </c>
      <c r="E2368">
        <v>9</v>
      </c>
    </row>
    <row r="2369" spans="1:5" x14ac:dyDescent="0.2">
      <c r="A2369">
        <v>10000032</v>
      </c>
      <c r="B2369">
        <v>22841357</v>
      </c>
      <c r="C2369">
        <v>3</v>
      </c>
      <c r="D2369" s="1" t="s">
        <v>268</v>
      </c>
      <c r="E2369">
        <v>9</v>
      </c>
    </row>
    <row r="2370" spans="1:5" x14ac:dyDescent="0.2">
      <c r="A2370">
        <v>10000032</v>
      </c>
      <c r="B2370">
        <v>22841357</v>
      </c>
      <c r="C2370">
        <v>8</v>
      </c>
      <c r="D2370" s="1" t="s">
        <v>308</v>
      </c>
      <c r="E2370">
        <v>9</v>
      </c>
    </row>
    <row r="2371" spans="1:5" x14ac:dyDescent="0.2">
      <c r="A2371">
        <v>10000032</v>
      </c>
      <c r="B2371">
        <v>22841357</v>
      </c>
      <c r="C2371">
        <v>6</v>
      </c>
      <c r="D2371" s="1" t="s">
        <v>784</v>
      </c>
      <c r="E2371">
        <v>9</v>
      </c>
    </row>
    <row r="2372" spans="1:5" x14ac:dyDescent="0.2">
      <c r="A2372">
        <v>10000032</v>
      </c>
      <c r="B2372">
        <v>22841357</v>
      </c>
      <c r="C2372">
        <v>5</v>
      </c>
      <c r="D2372" s="1" t="s">
        <v>660</v>
      </c>
      <c r="E2372">
        <v>9</v>
      </c>
    </row>
    <row r="2373" spans="1:5" x14ac:dyDescent="0.2">
      <c r="A2373">
        <v>10000032</v>
      </c>
      <c r="B2373">
        <v>22841357</v>
      </c>
      <c r="C2373">
        <v>1</v>
      </c>
      <c r="D2373" s="1" t="s">
        <v>1227</v>
      </c>
      <c r="E2373">
        <v>9</v>
      </c>
    </row>
    <row r="2374" spans="1:5" x14ac:dyDescent="0.2">
      <c r="A2374">
        <v>10000032</v>
      </c>
      <c r="B2374">
        <v>22841357</v>
      </c>
      <c r="C2374">
        <v>2</v>
      </c>
      <c r="D2374" s="1" t="s">
        <v>462</v>
      </c>
      <c r="E2374">
        <v>9</v>
      </c>
    </row>
    <row r="2375" spans="1:5" x14ac:dyDescent="0.2">
      <c r="A2375">
        <v>10000032</v>
      </c>
      <c r="B2375">
        <v>22595853</v>
      </c>
      <c r="C2375">
        <v>5</v>
      </c>
      <c r="D2375" s="1" t="s">
        <v>660</v>
      </c>
      <c r="E2375">
        <v>9</v>
      </c>
    </row>
    <row r="2376" spans="1:5" x14ac:dyDescent="0.2">
      <c r="A2376">
        <v>10000032</v>
      </c>
      <c r="B2376">
        <v>22595853</v>
      </c>
      <c r="C2376">
        <v>3</v>
      </c>
      <c r="D2376" s="1" t="s">
        <v>784</v>
      </c>
      <c r="E2376">
        <v>9</v>
      </c>
    </row>
    <row r="2377" spans="1:5" x14ac:dyDescent="0.2">
      <c r="A2377">
        <v>10000032</v>
      </c>
      <c r="B2377">
        <v>22595853</v>
      </c>
      <c r="C2377">
        <v>1</v>
      </c>
      <c r="D2377" s="1" t="s">
        <v>767</v>
      </c>
      <c r="E2377">
        <v>9</v>
      </c>
    </row>
    <row r="2378" spans="1:5" x14ac:dyDescent="0.2">
      <c r="A2378">
        <v>10000032</v>
      </c>
      <c r="B2378">
        <v>22595853</v>
      </c>
      <c r="C2378">
        <v>8</v>
      </c>
      <c r="D2378" s="1" t="s">
        <v>359</v>
      </c>
      <c r="E2378">
        <v>9</v>
      </c>
    </row>
    <row r="2379" spans="1:5" x14ac:dyDescent="0.2">
      <c r="A2379">
        <v>10000032</v>
      </c>
      <c r="B2379">
        <v>22595853</v>
      </c>
      <c r="C2379">
        <v>2</v>
      </c>
      <c r="D2379" s="1" t="s">
        <v>462</v>
      </c>
      <c r="E2379">
        <v>9</v>
      </c>
    </row>
    <row r="2380" spans="1:5" x14ac:dyDescent="0.2">
      <c r="A2380">
        <v>10000032</v>
      </c>
      <c r="B2380">
        <v>22595853</v>
      </c>
      <c r="C2380">
        <v>4</v>
      </c>
      <c r="D2380" s="1" t="s">
        <v>661</v>
      </c>
      <c r="E2380">
        <v>9</v>
      </c>
    </row>
    <row r="2381" spans="1:5" x14ac:dyDescent="0.2">
      <c r="A2381">
        <v>10000032</v>
      </c>
      <c r="B2381">
        <v>22595853</v>
      </c>
      <c r="C2381">
        <v>7</v>
      </c>
      <c r="D2381" s="1" t="s">
        <v>654</v>
      </c>
      <c r="E2381">
        <v>9</v>
      </c>
    </row>
    <row r="2382" spans="1:5" x14ac:dyDescent="0.2">
      <c r="A2382">
        <v>10000032</v>
      </c>
      <c r="B2382">
        <v>22595853</v>
      </c>
      <c r="C2382">
        <v>6</v>
      </c>
      <c r="D2382" s="1" t="s">
        <v>1228</v>
      </c>
      <c r="E2382">
        <v>9</v>
      </c>
    </row>
    <row r="2383" spans="1:5" x14ac:dyDescent="0.2">
      <c r="A2383">
        <v>10000032</v>
      </c>
      <c r="B2383">
        <v>25742920</v>
      </c>
      <c r="C2383">
        <v>9</v>
      </c>
      <c r="D2383" s="1" t="s">
        <v>308</v>
      </c>
      <c r="E2383">
        <v>9</v>
      </c>
    </row>
    <row r="2384" spans="1:5" x14ac:dyDescent="0.2">
      <c r="A2384">
        <v>10000032</v>
      </c>
      <c r="B2384">
        <v>25742920</v>
      </c>
      <c r="C2384">
        <v>10</v>
      </c>
      <c r="D2384" s="1" t="s">
        <v>266</v>
      </c>
      <c r="E2384">
        <v>9</v>
      </c>
    </row>
    <row r="2385" spans="1:5" x14ac:dyDescent="0.2">
      <c r="A2385">
        <v>10000032</v>
      </c>
      <c r="B2385">
        <v>25742920</v>
      </c>
      <c r="C2385">
        <v>8</v>
      </c>
      <c r="D2385" s="1" t="s">
        <v>1226</v>
      </c>
      <c r="E2385">
        <v>9</v>
      </c>
    </row>
    <row r="2386" spans="1:5" x14ac:dyDescent="0.2">
      <c r="A2386">
        <v>10000032</v>
      </c>
      <c r="B2386">
        <v>25742920</v>
      </c>
      <c r="C2386">
        <v>5</v>
      </c>
      <c r="D2386" s="1" t="s">
        <v>668</v>
      </c>
      <c r="E2386">
        <v>9</v>
      </c>
    </row>
    <row r="2387" spans="1:5" x14ac:dyDescent="0.2">
      <c r="A2387">
        <v>10000032</v>
      </c>
      <c r="B2387">
        <v>25742920</v>
      </c>
      <c r="C2387">
        <v>1</v>
      </c>
      <c r="D2387" s="1" t="s">
        <v>919</v>
      </c>
      <c r="E2387">
        <v>9</v>
      </c>
    </row>
    <row r="2388" spans="1:5" x14ac:dyDescent="0.2">
      <c r="A2388">
        <v>10000032</v>
      </c>
      <c r="B2388">
        <v>25742920</v>
      </c>
      <c r="C2388">
        <v>4</v>
      </c>
      <c r="D2388" s="1" t="s">
        <v>784</v>
      </c>
      <c r="E2388">
        <v>9</v>
      </c>
    </row>
    <row r="2389" spans="1:5" x14ac:dyDescent="0.2">
      <c r="A2389">
        <v>10000032</v>
      </c>
      <c r="B2389">
        <v>25742920</v>
      </c>
      <c r="C2389">
        <v>6</v>
      </c>
      <c r="D2389" s="1" t="s">
        <v>390</v>
      </c>
      <c r="E2389">
        <v>9</v>
      </c>
    </row>
    <row r="2390" spans="1:5" x14ac:dyDescent="0.2">
      <c r="A2390">
        <v>10000032</v>
      </c>
      <c r="B2390">
        <v>25742920</v>
      </c>
      <c r="C2390">
        <v>3</v>
      </c>
      <c r="D2390" s="1" t="s">
        <v>1229</v>
      </c>
      <c r="E2390">
        <v>9</v>
      </c>
    </row>
    <row r="2391" spans="1:5" x14ac:dyDescent="0.2">
      <c r="A2391">
        <v>10000032</v>
      </c>
      <c r="B2391">
        <v>25742920</v>
      </c>
      <c r="C2391">
        <v>2</v>
      </c>
      <c r="D2391" s="1" t="s">
        <v>462</v>
      </c>
      <c r="E2391">
        <v>9</v>
      </c>
    </row>
    <row r="2392" spans="1:5" x14ac:dyDescent="0.2">
      <c r="A2392">
        <v>10000032</v>
      </c>
      <c r="B2392">
        <v>25742920</v>
      </c>
      <c r="C2392">
        <v>7</v>
      </c>
      <c r="D2392" s="1" t="s">
        <v>660</v>
      </c>
      <c r="E2392">
        <v>9</v>
      </c>
    </row>
    <row r="2393" spans="1:5" x14ac:dyDescent="0.2">
      <c r="A2393">
        <v>10000032</v>
      </c>
      <c r="B2393">
        <v>29079034</v>
      </c>
      <c r="C2393">
        <v>12</v>
      </c>
      <c r="D2393" s="1" t="s">
        <v>1228</v>
      </c>
      <c r="E2393">
        <v>9</v>
      </c>
    </row>
    <row r="2394" spans="1:5" x14ac:dyDescent="0.2">
      <c r="A2394">
        <v>10000032</v>
      </c>
      <c r="B2394">
        <v>29079034</v>
      </c>
      <c r="C2394">
        <v>5</v>
      </c>
      <c r="D2394" s="1" t="s">
        <v>462</v>
      </c>
      <c r="E2394">
        <v>9</v>
      </c>
    </row>
    <row r="2395" spans="1:5" x14ac:dyDescent="0.2">
      <c r="A2395">
        <v>10000032</v>
      </c>
      <c r="B2395">
        <v>29079034</v>
      </c>
      <c r="C2395">
        <v>3</v>
      </c>
      <c r="D2395" s="1" t="s">
        <v>776</v>
      </c>
      <c r="E2395">
        <v>9</v>
      </c>
    </row>
    <row r="2396" spans="1:5" x14ac:dyDescent="0.2">
      <c r="A2396">
        <v>10000032</v>
      </c>
      <c r="B2396">
        <v>29079034</v>
      </c>
      <c r="C2396">
        <v>7</v>
      </c>
      <c r="D2396" s="1" t="s">
        <v>308</v>
      </c>
      <c r="E2396">
        <v>9</v>
      </c>
    </row>
    <row r="2397" spans="1:5" x14ac:dyDescent="0.2">
      <c r="A2397">
        <v>10000032</v>
      </c>
      <c r="B2397">
        <v>29079034</v>
      </c>
      <c r="C2397">
        <v>10</v>
      </c>
      <c r="D2397" s="1" t="s">
        <v>1229</v>
      </c>
      <c r="E2397">
        <v>9</v>
      </c>
    </row>
    <row r="2398" spans="1:5" x14ac:dyDescent="0.2">
      <c r="A2398">
        <v>10000032</v>
      </c>
      <c r="B2398">
        <v>29079034</v>
      </c>
      <c r="C2398">
        <v>13</v>
      </c>
      <c r="D2398" s="1" t="s">
        <v>784</v>
      </c>
      <c r="E2398">
        <v>9</v>
      </c>
    </row>
    <row r="2399" spans="1:5" x14ac:dyDescent="0.2">
      <c r="A2399">
        <v>10000032</v>
      </c>
      <c r="B2399">
        <v>29079034</v>
      </c>
      <c r="C2399">
        <v>1</v>
      </c>
      <c r="D2399" s="1" t="s">
        <v>961</v>
      </c>
      <c r="E2399">
        <v>9</v>
      </c>
    </row>
    <row r="2400" spans="1:5" x14ac:dyDescent="0.2">
      <c r="A2400">
        <v>10000032</v>
      </c>
      <c r="B2400">
        <v>29079034</v>
      </c>
      <c r="C2400">
        <v>9</v>
      </c>
      <c r="D2400" s="1" t="s">
        <v>538</v>
      </c>
      <c r="E2400">
        <v>9</v>
      </c>
    </row>
    <row r="2401" spans="1:5" x14ac:dyDescent="0.2">
      <c r="A2401">
        <v>10000032</v>
      </c>
      <c r="B2401">
        <v>29079034</v>
      </c>
      <c r="C2401">
        <v>2</v>
      </c>
      <c r="D2401" s="1" t="s">
        <v>1230</v>
      </c>
      <c r="E2401">
        <v>9</v>
      </c>
    </row>
    <row r="2402" spans="1:5" x14ac:dyDescent="0.2">
      <c r="A2402">
        <v>10000032</v>
      </c>
      <c r="B2402">
        <v>29079034</v>
      </c>
      <c r="C2402">
        <v>8</v>
      </c>
      <c r="D2402" s="1" t="s">
        <v>1226</v>
      </c>
      <c r="E2402">
        <v>9</v>
      </c>
    </row>
    <row r="2403" spans="1:5" x14ac:dyDescent="0.2">
      <c r="A2403">
        <v>10000032</v>
      </c>
      <c r="B2403">
        <v>29079034</v>
      </c>
      <c r="C2403">
        <v>4</v>
      </c>
      <c r="D2403" s="1" t="s">
        <v>390</v>
      </c>
      <c r="E2403">
        <v>9</v>
      </c>
    </row>
    <row r="2404" spans="1:5" x14ac:dyDescent="0.2">
      <c r="A2404">
        <v>10000032</v>
      </c>
      <c r="B2404">
        <v>29079034</v>
      </c>
      <c r="C2404">
        <v>6</v>
      </c>
      <c r="D2404" s="1" t="s">
        <v>668</v>
      </c>
      <c r="E2404">
        <v>9</v>
      </c>
    </row>
    <row r="2405" spans="1:5" x14ac:dyDescent="0.2">
      <c r="A2405">
        <v>10000032</v>
      </c>
      <c r="B2405">
        <v>29079034</v>
      </c>
      <c r="C2405">
        <v>11</v>
      </c>
      <c r="D2405" s="1" t="s">
        <v>660</v>
      </c>
      <c r="E2405">
        <v>9</v>
      </c>
    </row>
    <row r="2406" spans="1:5" x14ac:dyDescent="0.2">
      <c r="A2406">
        <v>10037928</v>
      </c>
      <c r="B2406">
        <v>24656677</v>
      </c>
      <c r="C2406">
        <v>13</v>
      </c>
      <c r="D2406" s="1" t="s">
        <v>293</v>
      </c>
      <c r="E2406">
        <v>9</v>
      </c>
    </row>
    <row r="2407" spans="1:5" x14ac:dyDescent="0.2">
      <c r="A2407">
        <v>10037928</v>
      </c>
      <c r="B2407">
        <v>24656677</v>
      </c>
      <c r="C2407">
        <v>3</v>
      </c>
      <c r="D2407" s="1" t="s">
        <v>273</v>
      </c>
      <c r="E2407">
        <v>9</v>
      </c>
    </row>
    <row r="2408" spans="1:5" x14ac:dyDescent="0.2">
      <c r="A2408">
        <v>10037928</v>
      </c>
      <c r="B2408">
        <v>24656677</v>
      </c>
      <c r="C2408">
        <v>8</v>
      </c>
      <c r="D2408" s="1" t="s">
        <v>1000</v>
      </c>
      <c r="E2408">
        <v>9</v>
      </c>
    </row>
    <row r="2409" spans="1:5" x14ac:dyDescent="0.2">
      <c r="A2409">
        <v>10037928</v>
      </c>
      <c r="B2409">
        <v>24656677</v>
      </c>
      <c r="C2409">
        <v>1</v>
      </c>
      <c r="D2409" s="1" t="s">
        <v>468</v>
      </c>
      <c r="E2409">
        <v>9</v>
      </c>
    </row>
    <row r="2410" spans="1:5" x14ac:dyDescent="0.2">
      <c r="A2410">
        <v>10037928</v>
      </c>
      <c r="B2410">
        <v>24656677</v>
      </c>
      <c r="C2410">
        <v>18</v>
      </c>
      <c r="D2410" s="1" t="s">
        <v>1231</v>
      </c>
      <c r="E2410">
        <v>9</v>
      </c>
    </row>
    <row r="2411" spans="1:5" x14ac:dyDescent="0.2">
      <c r="A2411">
        <v>10037928</v>
      </c>
      <c r="B2411">
        <v>24656677</v>
      </c>
      <c r="C2411">
        <v>16</v>
      </c>
      <c r="D2411" s="1" t="s">
        <v>768</v>
      </c>
      <c r="E2411">
        <v>9</v>
      </c>
    </row>
    <row r="2412" spans="1:5" x14ac:dyDescent="0.2">
      <c r="A2412">
        <v>10037928</v>
      </c>
      <c r="B2412">
        <v>24656677</v>
      </c>
      <c r="C2412">
        <v>17</v>
      </c>
      <c r="D2412" s="1" t="s">
        <v>494</v>
      </c>
      <c r="E2412">
        <v>9</v>
      </c>
    </row>
    <row r="2413" spans="1:5" x14ac:dyDescent="0.2">
      <c r="A2413">
        <v>10037928</v>
      </c>
      <c r="B2413">
        <v>24656677</v>
      </c>
      <c r="C2413">
        <v>12</v>
      </c>
      <c r="D2413" s="1" t="s">
        <v>499</v>
      </c>
      <c r="E2413">
        <v>9</v>
      </c>
    </row>
    <row r="2414" spans="1:5" x14ac:dyDescent="0.2">
      <c r="A2414">
        <v>10037928</v>
      </c>
      <c r="B2414">
        <v>24656677</v>
      </c>
      <c r="C2414">
        <v>14</v>
      </c>
      <c r="D2414" s="1" t="s">
        <v>853</v>
      </c>
      <c r="E2414">
        <v>9</v>
      </c>
    </row>
    <row r="2415" spans="1:5" x14ac:dyDescent="0.2">
      <c r="A2415">
        <v>10037928</v>
      </c>
      <c r="B2415">
        <v>24656677</v>
      </c>
      <c r="C2415">
        <v>2</v>
      </c>
      <c r="D2415" s="1" t="s">
        <v>409</v>
      </c>
      <c r="E2415">
        <v>9</v>
      </c>
    </row>
    <row r="2416" spans="1:5" x14ac:dyDescent="0.2">
      <c r="A2416">
        <v>10037928</v>
      </c>
      <c r="B2416">
        <v>24656677</v>
      </c>
      <c r="C2416">
        <v>15</v>
      </c>
      <c r="D2416" s="1" t="s">
        <v>1232</v>
      </c>
      <c r="E2416">
        <v>9</v>
      </c>
    </row>
    <row r="2417" spans="1:5" x14ac:dyDescent="0.2">
      <c r="A2417">
        <v>10037928</v>
      </c>
      <c r="B2417">
        <v>24656677</v>
      </c>
      <c r="C2417">
        <v>4</v>
      </c>
      <c r="D2417" s="1" t="s">
        <v>260</v>
      </c>
      <c r="E2417">
        <v>9</v>
      </c>
    </row>
    <row r="2418" spans="1:5" x14ac:dyDescent="0.2">
      <c r="A2418">
        <v>10037928</v>
      </c>
      <c r="B2418">
        <v>24656677</v>
      </c>
      <c r="C2418">
        <v>10</v>
      </c>
      <c r="D2418" s="1" t="s">
        <v>259</v>
      </c>
      <c r="E2418">
        <v>9</v>
      </c>
    </row>
    <row r="2419" spans="1:5" x14ac:dyDescent="0.2">
      <c r="A2419">
        <v>10037928</v>
      </c>
      <c r="B2419">
        <v>24656677</v>
      </c>
      <c r="C2419">
        <v>9</v>
      </c>
      <c r="D2419" s="1" t="s">
        <v>296</v>
      </c>
      <c r="E2419">
        <v>9</v>
      </c>
    </row>
    <row r="2420" spans="1:5" x14ac:dyDescent="0.2">
      <c r="A2420">
        <v>10037928</v>
      </c>
      <c r="B2420">
        <v>24656677</v>
      </c>
      <c r="C2420">
        <v>5</v>
      </c>
      <c r="D2420" s="1" t="s">
        <v>514</v>
      </c>
      <c r="E2420">
        <v>9</v>
      </c>
    </row>
    <row r="2421" spans="1:5" x14ac:dyDescent="0.2">
      <c r="A2421">
        <v>10037928</v>
      </c>
      <c r="B2421">
        <v>24656677</v>
      </c>
      <c r="C2421">
        <v>11</v>
      </c>
      <c r="D2421" s="1" t="s">
        <v>406</v>
      </c>
      <c r="E2421">
        <v>9</v>
      </c>
    </row>
    <row r="2422" spans="1:5" x14ac:dyDescent="0.2">
      <c r="A2422">
        <v>10037928</v>
      </c>
      <c r="B2422">
        <v>24656677</v>
      </c>
      <c r="C2422">
        <v>6</v>
      </c>
      <c r="D2422" s="1" t="s">
        <v>1233</v>
      </c>
      <c r="E2422">
        <v>9</v>
      </c>
    </row>
    <row r="2423" spans="1:5" x14ac:dyDescent="0.2">
      <c r="A2423">
        <v>10037928</v>
      </c>
      <c r="B2423">
        <v>24656677</v>
      </c>
      <c r="C2423">
        <v>19</v>
      </c>
      <c r="D2423" s="1" t="s">
        <v>1234</v>
      </c>
      <c r="E2423">
        <v>9</v>
      </c>
    </row>
    <row r="2424" spans="1:5" x14ac:dyDescent="0.2">
      <c r="A2424">
        <v>10037928</v>
      </c>
      <c r="B2424">
        <v>24656677</v>
      </c>
      <c r="C2424">
        <v>7</v>
      </c>
      <c r="D2424" s="1" t="s">
        <v>1235</v>
      </c>
      <c r="E2424">
        <v>9</v>
      </c>
    </row>
    <row r="2425" spans="1:5" x14ac:dyDescent="0.2">
      <c r="A2425">
        <v>10037928</v>
      </c>
      <c r="B2425">
        <v>24885579</v>
      </c>
      <c r="C2425">
        <v>2</v>
      </c>
      <c r="D2425" s="1" t="s">
        <v>788</v>
      </c>
      <c r="E2425">
        <v>10</v>
      </c>
    </row>
    <row r="2426" spans="1:5" x14ac:dyDescent="0.2">
      <c r="A2426">
        <v>10037928</v>
      </c>
      <c r="B2426">
        <v>24885579</v>
      </c>
      <c r="C2426">
        <v>10</v>
      </c>
      <c r="D2426" s="1" t="s">
        <v>438</v>
      </c>
      <c r="E2426">
        <v>10</v>
      </c>
    </row>
    <row r="2427" spans="1:5" x14ac:dyDescent="0.2">
      <c r="A2427">
        <v>10037928</v>
      </c>
      <c r="B2427">
        <v>24885579</v>
      </c>
      <c r="C2427">
        <v>1</v>
      </c>
      <c r="D2427" s="1" t="s">
        <v>1236</v>
      </c>
      <c r="E2427">
        <v>10</v>
      </c>
    </row>
    <row r="2428" spans="1:5" x14ac:dyDescent="0.2">
      <c r="A2428">
        <v>10037928</v>
      </c>
      <c r="B2428">
        <v>24885579</v>
      </c>
      <c r="C2428">
        <v>11</v>
      </c>
      <c r="D2428" s="1" t="s">
        <v>889</v>
      </c>
      <c r="E2428">
        <v>10</v>
      </c>
    </row>
    <row r="2429" spans="1:5" x14ac:dyDescent="0.2">
      <c r="A2429">
        <v>10037928</v>
      </c>
      <c r="B2429">
        <v>24885579</v>
      </c>
      <c r="C2429">
        <v>6</v>
      </c>
      <c r="D2429" s="1" t="s">
        <v>329</v>
      </c>
      <c r="E2429">
        <v>10</v>
      </c>
    </row>
    <row r="2430" spans="1:5" x14ac:dyDescent="0.2">
      <c r="A2430">
        <v>10037928</v>
      </c>
      <c r="B2430">
        <v>24885579</v>
      </c>
      <c r="C2430">
        <v>13</v>
      </c>
      <c r="D2430" s="1" t="s">
        <v>333</v>
      </c>
      <c r="E2430">
        <v>10</v>
      </c>
    </row>
    <row r="2431" spans="1:5" x14ac:dyDescent="0.2">
      <c r="A2431">
        <v>10037928</v>
      </c>
      <c r="B2431">
        <v>24885579</v>
      </c>
      <c r="C2431">
        <v>15</v>
      </c>
      <c r="D2431" s="1" t="s">
        <v>1237</v>
      </c>
      <c r="E2431">
        <v>10</v>
      </c>
    </row>
    <row r="2432" spans="1:5" x14ac:dyDescent="0.2">
      <c r="A2432">
        <v>10037928</v>
      </c>
      <c r="B2432">
        <v>24885579</v>
      </c>
      <c r="C2432">
        <v>9</v>
      </c>
      <c r="D2432" s="1" t="s">
        <v>987</v>
      </c>
      <c r="E2432">
        <v>10</v>
      </c>
    </row>
    <row r="2433" spans="1:5" x14ac:dyDescent="0.2">
      <c r="A2433">
        <v>10037928</v>
      </c>
      <c r="B2433">
        <v>24885579</v>
      </c>
      <c r="C2433">
        <v>8</v>
      </c>
      <c r="D2433" s="1" t="s">
        <v>478</v>
      </c>
      <c r="E2433">
        <v>10</v>
      </c>
    </row>
    <row r="2434" spans="1:5" x14ac:dyDescent="0.2">
      <c r="A2434">
        <v>10037928</v>
      </c>
      <c r="B2434">
        <v>24885579</v>
      </c>
      <c r="C2434">
        <v>14</v>
      </c>
      <c r="D2434" s="1" t="s">
        <v>1202</v>
      </c>
      <c r="E2434">
        <v>10</v>
      </c>
    </row>
    <row r="2435" spans="1:5" x14ac:dyDescent="0.2">
      <c r="A2435">
        <v>10037928</v>
      </c>
      <c r="B2435">
        <v>24885579</v>
      </c>
      <c r="C2435">
        <v>4</v>
      </c>
      <c r="D2435" s="1" t="s">
        <v>379</v>
      </c>
      <c r="E2435">
        <v>10</v>
      </c>
    </row>
    <row r="2436" spans="1:5" x14ac:dyDescent="0.2">
      <c r="A2436">
        <v>10037928</v>
      </c>
      <c r="B2436">
        <v>24885579</v>
      </c>
      <c r="C2436">
        <v>5</v>
      </c>
      <c r="D2436" s="1" t="s">
        <v>620</v>
      </c>
      <c r="E2436">
        <v>10</v>
      </c>
    </row>
    <row r="2437" spans="1:5" x14ac:dyDescent="0.2">
      <c r="A2437">
        <v>10037928</v>
      </c>
      <c r="B2437">
        <v>24885579</v>
      </c>
      <c r="C2437">
        <v>12</v>
      </c>
      <c r="D2437" s="1" t="s">
        <v>1238</v>
      </c>
      <c r="E2437">
        <v>10</v>
      </c>
    </row>
    <row r="2438" spans="1:5" x14ac:dyDescent="0.2">
      <c r="A2438">
        <v>10037928</v>
      </c>
      <c r="B2438">
        <v>24885579</v>
      </c>
      <c r="C2438">
        <v>3</v>
      </c>
      <c r="D2438" s="1" t="s">
        <v>1239</v>
      </c>
      <c r="E2438">
        <v>10</v>
      </c>
    </row>
    <row r="2439" spans="1:5" x14ac:dyDescent="0.2">
      <c r="A2439">
        <v>10037928</v>
      </c>
      <c r="B2439">
        <v>24885579</v>
      </c>
      <c r="C2439">
        <v>7</v>
      </c>
      <c r="D2439" s="1" t="s">
        <v>1070</v>
      </c>
      <c r="E2439">
        <v>10</v>
      </c>
    </row>
    <row r="2440" spans="1:5" x14ac:dyDescent="0.2">
      <c r="A2440">
        <v>10037928</v>
      </c>
      <c r="B2440">
        <v>24885579</v>
      </c>
      <c r="C2440">
        <v>16</v>
      </c>
      <c r="D2440" s="1" t="s">
        <v>1240</v>
      </c>
      <c r="E2440">
        <v>10</v>
      </c>
    </row>
    <row r="2441" spans="1:5" x14ac:dyDescent="0.2">
      <c r="A2441">
        <v>10037928</v>
      </c>
      <c r="B2441">
        <v>22490490</v>
      </c>
      <c r="C2441">
        <v>15</v>
      </c>
      <c r="D2441" s="1" t="s">
        <v>713</v>
      </c>
      <c r="E2441">
        <v>9</v>
      </c>
    </row>
    <row r="2442" spans="1:5" x14ac:dyDescent="0.2">
      <c r="A2442">
        <v>10037928</v>
      </c>
      <c r="B2442">
        <v>22490490</v>
      </c>
      <c r="C2442">
        <v>4</v>
      </c>
      <c r="D2442" s="1" t="s">
        <v>410</v>
      </c>
      <c r="E2442">
        <v>9</v>
      </c>
    </row>
    <row r="2443" spans="1:5" x14ac:dyDescent="0.2">
      <c r="A2443">
        <v>10037928</v>
      </c>
      <c r="B2443">
        <v>22490490</v>
      </c>
      <c r="C2443">
        <v>5</v>
      </c>
      <c r="D2443" s="1" t="s">
        <v>809</v>
      </c>
      <c r="E2443">
        <v>9</v>
      </c>
    </row>
    <row r="2444" spans="1:5" x14ac:dyDescent="0.2">
      <c r="A2444">
        <v>10037928</v>
      </c>
      <c r="B2444">
        <v>22490490</v>
      </c>
      <c r="C2444">
        <v>13</v>
      </c>
      <c r="D2444" s="1" t="s">
        <v>1241</v>
      </c>
      <c r="E2444">
        <v>9</v>
      </c>
    </row>
    <row r="2445" spans="1:5" x14ac:dyDescent="0.2">
      <c r="A2445">
        <v>10037928</v>
      </c>
      <c r="B2445">
        <v>22490490</v>
      </c>
      <c r="C2445">
        <v>16</v>
      </c>
      <c r="D2445" s="1" t="s">
        <v>514</v>
      </c>
      <c r="E2445">
        <v>9</v>
      </c>
    </row>
    <row r="2446" spans="1:5" x14ac:dyDescent="0.2">
      <c r="A2446">
        <v>10037928</v>
      </c>
      <c r="B2446">
        <v>22490490</v>
      </c>
      <c r="C2446">
        <v>9</v>
      </c>
      <c r="D2446" s="1" t="s">
        <v>1050</v>
      </c>
      <c r="E2446">
        <v>9</v>
      </c>
    </row>
    <row r="2447" spans="1:5" x14ac:dyDescent="0.2">
      <c r="A2447">
        <v>10037928</v>
      </c>
      <c r="B2447">
        <v>22490490</v>
      </c>
      <c r="C2447">
        <v>11</v>
      </c>
      <c r="D2447" s="1" t="s">
        <v>416</v>
      </c>
      <c r="E2447">
        <v>9</v>
      </c>
    </row>
    <row r="2448" spans="1:5" x14ac:dyDescent="0.2">
      <c r="A2448">
        <v>10037928</v>
      </c>
      <c r="B2448">
        <v>22490490</v>
      </c>
      <c r="C2448">
        <v>1</v>
      </c>
      <c r="D2448" s="1" t="s">
        <v>1242</v>
      </c>
      <c r="E2448">
        <v>9</v>
      </c>
    </row>
    <row r="2449" spans="1:5" x14ac:dyDescent="0.2">
      <c r="A2449">
        <v>10037928</v>
      </c>
      <c r="B2449">
        <v>22490490</v>
      </c>
      <c r="C2449">
        <v>7</v>
      </c>
      <c r="D2449" s="1" t="s">
        <v>259</v>
      </c>
      <c r="E2449">
        <v>9</v>
      </c>
    </row>
    <row r="2450" spans="1:5" x14ac:dyDescent="0.2">
      <c r="A2450">
        <v>10037928</v>
      </c>
      <c r="B2450">
        <v>22490490</v>
      </c>
      <c r="C2450">
        <v>10</v>
      </c>
      <c r="D2450" s="1" t="s">
        <v>853</v>
      </c>
      <c r="E2450">
        <v>9</v>
      </c>
    </row>
    <row r="2451" spans="1:5" x14ac:dyDescent="0.2">
      <c r="A2451">
        <v>10037928</v>
      </c>
      <c r="B2451">
        <v>22490490</v>
      </c>
      <c r="C2451">
        <v>12</v>
      </c>
      <c r="D2451" s="1" t="s">
        <v>1243</v>
      </c>
      <c r="E2451">
        <v>9</v>
      </c>
    </row>
    <row r="2452" spans="1:5" x14ac:dyDescent="0.2">
      <c r="A2452">
        <v>10037928</v>
      </c>
      <c r="B2452">
        <v>22490490</v>
      </c>
      <c r="C2452">
        <v>17</v>
      </c>
      <c r="D2452" s="1" t="s">
        <v>1244</v>
      </c>
      <c r="E2452">
        <v>9</v>
      </c>
    </row>
    <row r="2453" spans="1:5" x14ac:dyDescent="0.2">
      <c r="A2453">
        <v>10037928</v>
      </c>
      <c r="B2453">
        <v>22490490</v>
      </c>
      <c r="C2453">
        <v>8</v>
      </c>
      <c r="D2453" s="1" t="s">
        <v>728</v>
      </c>
      <c r="E2453">
        <v>9</v>
      </c>
    </row>
    <row r="2454" spans="1:5" x14ac:dyDescent="0.2">
      <c r="A2454">
        <v>10037928</v>
      </c>
      <c r="B2454">
        <v>22490490</v>
      </c>
      <c r="C2454">
        <v>14</v>
      </c>
      <c r="D2454" s="1" t="s">
        <v>406</v>
      </c>
      <c r="E2454">
        <v>9</v>
      </c>
    </row>
    <row r="2455" spans="1:5" x14ac:dyDescent="0.2">
      <c r="A2455">
        <v>10037928</v>
      </c>
      <c r="B2455">
        <v>22490490</v>
      </c>
      <c r="C2455">
        <v>6</v>
      </c>
      <c r="D2455" s="1" t="s">
        <v>260</v>
      </c>
      <c r="E2455">
        <v>9</v>
      </c>
    </row>
    <row r="2456" spans="1:5" x14ac:dyDescent="0.2">
      <c r="A2456">
        <v>10037928</v>
      </c>
      <c r="B2456">
        <v>22490490</v>
      </c>
      <c r="C2456">
        <v>2</v>
      </c>
      <c r="D2456" s="1" t="s">
        <v>273</v>
      </c>
      <c r="E2456">
        <v>9</v>
      </c>
    </row>
    <row r="2457" spans="1:5" x14ac:dyDescent="0.2">
      <c r="A2457">
        <v>10037928</v>
      </c>
      <c r="B2457">
        <v>22490490</v>
      </c>
      <c r="C2457">
        <v>3</v>
      </c>
      <c r="D2457" s="1" t="s">
        <v>409</v>
      </c>
      <c r="E2457">
        <v>9</v>
      </c>
    </row>
    <row r="2458" spans="1:5" x14ac:dyDescent="0.2">
      <c r="A2458">
        <v>10037928</v>
      </c>
      <c r="B2458">
        <v>20192635</v>
      </c>
      <c r="C2458">
        <v>3</v>
      </c>
      <c r="D2458" s="1" t="s">
        <v>1008</v>
      </c>
      <c r="E2458">
        <v>9</v>
      </c>
    </row>
    <row r="2459" spans="1:5" x14ac:dyDescent="0.2">
      <c r="A2459">
        <v>10037928</v>
      </c>
      <c r="B2459">
        <v>20192635</v>
      </c>
      <c r="C2459">
        <v>10</v>
      </c>
      <c r="D2459" s="1" t="s">
        <v>293</v>
      </c>
      <c r="E2459">
        <v>9</v>
      </c>
    </row>
    <row r="2460" spans="1:5" x14ac:dyDescent="0.2">
      <c r="A2460">
        <v>10037928</v>
      </c>
      <c r="B2460">
        <v>20192635</v>
      </c>
      <c r="C2460">
        <v>5</v>
      </c>
      <c r="D2460" s="1" t="s">
        <v>768</v>
      </c>
      <c r="E2460">
        <v>9</v>
      </c>
    </row>
    <row r="2461" spans="1:5" x14ac:dyDescent="0.2">
      <c r="A2461">
        <v>10037928</v>
      </c>
      <c r="B2461">
        <v>20192635</v>
      </c>
      <c r="C2461">
        <v>14</v>
      </c>
      <c r="D2461" s="1" t="s">
        <v>1245</v>
      </c>
      <c r="E2461">
        <v>9</v>
      </c>
    </row>
    <row r="2462" spans="1:5" x14ac:dyDescent="0.2">
      <c r="A2462">
        <v>10037928</v>
      </c>
      <c r="B2462">
        <v>20192635</v>
      </c>
      <c r="C2462">
        <v>13</v>
      </c>
      <c r="D2462" s="1" t="s">
        <v>797</v>
      </c>
      <c r="E2462">
        <v>9</v>
      </c>
    </row>
    <row r="2463" spans="1:5" x14ac:dyDescent="0.2">
      <c r="A2463">
        <v>10037928</v>
      </c>
      <c r="B2463">
        <v>20192635</v>
      </c>
      <c r="C2463">
        <v>1</v>
      </c>
      <c r="D2463" s="1" t="s">
        <v>1246</v>
      </c>
      <c r="E2463">
        <v>9</v>
      </c>
    </row>
    <row r="2464" spans="1:5" x14ac:dyDescent="0.2">
      <c r="A2464">
        <v>10037928</v>
      </c>
      <c r="B2464">
        <v>20192635</v>
      </c>
      <c r="C2464">
        <v>9</v>
      </c>
      <c r="D2464" s="1" t="s">
        <v>853</v>
      </c>
      <c r="E2464">
        <v>9</v>
      </c>
    </row>
    <row r="2465" spans="1:5" x14ac:dyDescent="0.2">
      <c r="A2465">
        <v>10037928</v>
      </c>
      <c r="B2465">
        <v>20192635</v>
      </c>
      <c r="C2465">
        <v>7</v>
      </c>
      <c r="D2465" s="1" t="s">
        <v>406</v>
      </c>
      <c r="E2465">
        <v>9</v>
      </c>
    </row>
    <row r="2466" spans="1:5" x14ac:dyDescent="0.2">
      <c r="A2466">
        <v>10037928</v>
      </c>
      <c r="B2466">
        <v>20192635</v>
      </c>
      <c r="C2466">
        <v>2</v>
      </c>
      <c r="D2466" s="1" t="s">
        <v>273</v>
      </c>
      <c r="E2466">
        <v>9</v>
      </c>
    </row>
    <row r="2467" spans="1:5" x14ac:dyDescent="0.2">
      <c r="A2467">
        <v>10037928</v>
      </c>
      <c r="B2467">
        <v>20192635</v>
      </c>
      <c r="C2467">
        <v>11</v>
      </c>
      <c r="D2467" s="1" t="s">
        <v>1247</v>
      </c>
      <c r="E2467">
        <v>9</v>
      </c>
    </row>
    <row r="2468" spans="1:5" x14ac:dyDescent="0.2">
      <c r="A2468">
        <v>10037928</v>
      </c>
      <c r="B2468">
        <v>20192635</v>
      </c>
      <c r="C2468">
        <v>6</v>
      </c>
      <c r="D2468" s="1" t="s">
        <v>1248</v>
      </c>
      <c r="E2468">
        <v>9</v>
      </c>
    </row>
    <row r="2469" spans="1:5" x14ac:dyDescent="0.2">
      <c r="A2469">
        <v>10037928</v>
      </c>
      <c r="B2469">
        <v>20192635</v>
      </c>
      <c r="C2469">
        <v>18</v>
      </c>
      <c r="D2469" s="1" t="s">
        <v>260</v>
      </c>
      <c r="E2469">
        <v>9</v>
      </c>
    </row>
    <row r="2470" spans="1:5" x14ac:dyDescent="0.2">
      <c r="A2470">
        <v>10037928</v>
      </c>
      <c r="B2470">
        <v>20192635</v>
      </c>
      <c r="C2470">
        <v>12</v>
      </c>
      <c r="D2470" s="1" t="s">
        <v>274</v>
      </c>
      <c r="E2470">
        <v>9</v>
      </c>
    </row>
    <row r="2471" spans="1:5" x14ac:dyDescent="0.2">
      <c r="A2471">
        <v>10037928</v>
      </c>
      <c r="B2471">
        <v>20192635</v>
      </c>
      <c r="C2471">
        <v>16</v>
      </c>
      <c r="D2471" s="1" t="s">
        <v>416</v>
      </c>
      <c r="E2471">
        <v>9</v>
      </c>
    </row>
    <row r="2472" spans="1:5" x14ac:dyDescent="0.2">
      <c r="A2472">
        <v>10037928</v>
      </c>
      <c r="B2472">
        <v>20192635</v>
      </c>
      <c r="C2472">
        <v>17</v>
      </c>
      <c r="D2472" s="1" t="s">
        <v>1249</v>
      </c>
      <c r="E2472">
        <v>9</v>
      </c>
    </row>
    <row r="2473" spans="1:5" x14ac:dyDescent="0.2">
      <c r="A2473">
        <v>10037928</v>
      </c>
      <c r="B2473">
        <v>20192635</v>
      </c>
      <c r="C2473">
        <v>8</v>
      </c>
      <c r="D2473" s="1" t="s">
        <v>499</v>
      </c>
      <c r="E2473">
        <v>9</v>
      </c>
    </row>
    <row r="2474" spans="1:5" x14ac:dyDescent="0.2">
      <c r="A2474">
        <v>10037928</v>
      </c>
      <c r="B2474">
        <v>20192635</v>
      </c>
      <c r="C2474">
        <v>15</v>
      </c>
      <c r="D2474" s="1" t="s">
        <v>413</v>
      </c>
      <c r="E2474">
        <v>9</v>
      </c>
    </row>
    <row r="2475" spans="1:5" x14ac:dyDescent="0.2">
      <c r="A2475">
        <v>10037928</v>
      </c>
      <c r="B2475">
        <v>20192635</v>
      </c>
      <c r="C2475">
        <v>4</v>
      </c>
      <c r="D2475" s="1" t="s">
        <v>259</v>
      </c>
      <c r="E2475">
        <v>9</v>
      </c>
    </row>
    <row r="2476" spans="1:5" x14ac:dyDescent="0.2">
      <c r="A2476">
        <v>10037928</v>
      </c>
      <c r="B2476">
        <v>23721604</v>
      </c>
      <c r="C2476">
        <v>13</v>
      </c>
      <c r="D2476" s="1" t="s">
        <v>494</v>
      </c>
      <c r="E2476">
        <v>9</v>
      </c>
    </row>
    <row r="2477" spans="1:5" x14ac:dyDescent="0.2">
      <c r="A2477">
        <v>10037928</v>
      </c>
      <c r="B2477">
        <v>23721604</v>
      </c>
      <c r="C2477">
        <v>3</v>
      </c>
      <c r="D2477" s="1" t="s">
        <v>273</v>
      </c>
      <c r="E2477">
        <v>9</v>
      </c>
    </row>
    <row r="2478" spans="1:5" x14ac:dyDescent="0.2">
      <c r="A2478">
        <v>10037928</v>
      </c>
      <c r="B2478">
        <v>23721604</v>
      </c>
      <c r="C2478">
        <v>18</v>
      </c>
      <c r="D2478" s="1" t="s">
        <v>369</v>
      </c>
      <c r="E2478">
        <v>9</v>
      </c>
    </row>
    <row r="2479" spans="1:5" x14ac:dyDescent="0.2">
      <c r="A2479">
        <v>10037928</v>
      </c>
      <c r="B2479">
        <v>23721604</v>
      </c>
      <c r="C2479">
        <v>22</v>
      </c>
      <c r="D2479" s="1" t="s">
        <v>768</v>
      </c>
      <c r="E2479">
        <v>9</v>
      </c>
    </row>
    <row r="2480" spans="1:5" x14ac:dyDescent="0.2">
      <c r="A2480">
        <v>10037928</v>
      </c>
      <c r="B2480">
        <v>23721604</v>
      </c>
      <c r="C2480">
        <v>4</v>
      </c>
      <c r="D2480" s="1" t="s">
        <v>859</v>
      </c>
      <c r="E2480">
        <v>9</v>
      </c>
    </row>
    <row r="2481" spans="1:5" x14ac:dyDescent="0.2">
      <c r="A2481">
        <v>10037928</v>
      </c>
      <c r="B2481">
        <v>23721604</v>
      </c>
      <c r="C2481">
        <v>6</v>
      </c>
      <c r="D2481" s="1" t="s">
        <v>256</v>
      </c>
      <c r="E2481">
        <v>9</v>
      </c>
    </row>
    <row r="2482" spans="1:5" x14ac:dyDescent="0.2">
      <c r="A2482">
        <v>10037928</v>
      </c>
      <c r="B2482">
        <v>23721604</v>
      </c>
      <c r="C2482">
        <v>21</v>
      </c>
      <c r="D2482" s="1" t="s">
        <v>1250</v>
      </c>
      <c r="E2482">
        <v>9</v>
      </c>
    </row>
    <row r="2483" spans="1:5" x14ac:dyDescent="0.2">
      <c r="A2483">
        <v>10037928</v>
      </c>
      <c r="B2483">
        <v>23721604</v>
      </c>
      <c r="C2483">
        <v>2</v>
      </c>
      <c r="D2483" s="1" t="s">
        <v>1251</v>
      </c>
      <c r="E2483">
        <v>9</v>
      </c>
    </row>
    <row r="2484" spans="1:5" x14ac:dyDescent="0.2">
      <c r="A2484">
        <v>10037928</v>
      </c>
      <c r="B2484">
        <v>23721604</v>
      </c>
      <c r="C2484">
        <v>8</v>
      </c>
      <c r="D2484" s="1" t="s">
        <v>339</v>
      </c>
      <c r="E2484">
        <v>9</v>
      </c>
    </row>
    <row r="2485" spans="1:5" x14ac:dyDescent="0.2">
      <c r="A2485">
        <v>10037928</v>
      </c>
      <c r="B2485">
        <v>23721604</v>
      </c>
      <c r="C2485">
        <v>17</v>
      </c>
      <c r="D2485" s="1" t="s">
        <v>499</v>
      </c>
      <c r="E2485">
        <v>9</v>
      </c>
    </row>
    <row r="2486" spans="1:5" x14ac:dyDescent="0.2">
      <c r="A2486">
        <v>10037928</v>
      </c>
      <c r="B2486">
        <v>23721604</v>
      </c>
      <c r="C2486">
        <v>7</v>
      </c>
      <c r="D2486" s="1" t="s">
        <v>1252</v>
      </c>
      <c r="E2486">
        <v>9</v>
      </c>
    </row>
    <row r="2487" spans="1:5" x14ac:dyDescent="0.2">
      <c r="A2487">
        <v>10037928</v>
      </c>
      <c r="B2487">
        <v>23721604</v>
      </c>
      <c r="C2487">
        <v>10</v>
      </c>
      <c r="D2487" s="1" t="s">
        <v>853</v>
      </c>
      <c r="E2487">
        <v>9</v>
      </c>
    </row>
    <row r="2488" spans="1:5" x14ac:dyDescent="0.2">
      <c r="A2488">
        <v>10037928</v>
      </c>
      <c r="B2488">
        <v>23721604</v>
      </c>
      <c r="C2488">
        <v>14</v>
      </c>
      <c r="D2488" s="1" t="s">
        <v>296</v>
      </c>
      <c r="E2488">
        <v>9</v>
      </c>
    </row>
    <row r="2489" spans="1:5" x14ac:dyDescent="0.2">
      <c r="A2489">
        <v>10037928</v>
      </c>
      <c r="B2489">
        <v>23721604</v>
      </c>
      <c r="C2489">
        <v>16</v>
      </c>
      <c r="D2489" s="1" t="s">
        <v>406</v>
      </c>
      <c r="E2489">
        <v>9</v>
      </c>
    </row>
    <row r="2490" spans="1:5" x14ac:dyDescent="0.2">
      <c r="A2490">
        <v>10037928</v>
      </c>
      <c r="B2490">
        <v>23721604</v>
      </c>
      <c r="C2490">
        <v>1</v>
      </c>
      <c r="D2490" s="1" t="s">
        <v>1253</v>
      </c>
      <c r="E2490">
        <v>9</v>
      </c>
    </row>
    <row r="2491" spans="1:5" x14ac:dyDescent="0.2">
      <c r="A2491">
        <v>10037928</v>
      </c>
      <c r="B2491">
        <v>23721604</v>
      </c>
      <c r="C2491">
        <v>12</v>
      </c>
      <c r="D2491" s="1" t="s">
        <v>1254</v>
      </c>
      <c r="E2491">
        <v>9</v>
      </c>
    </row>
    <row r="2492" spans="1:5" x14ac:dyDescent="0.2">
      <c r="A2492">
        <v>10037928</v>
      </c>
      <c r="B2492">
        <v>23721604</v>
      </c>
      <c r="C2492">
        <v>5</v>
      </c>
      <c r="D2492" s="1" t="s">
        <v>1255</v>
      </c>
      <c r="E2492">
        <v>9</v>
      </c>
    </row>
    <row r="2493" spans="1:5" x14ac:dyDescent="0.2">
      <c r="A2493">
        <v>10037928</v>
      </c>
      <c r="B2493">
        <v>23721604</v>
      </c>
      <c r="C2493">
        <v>9</v>
      </c>
      <c r="D2493" s="1" t="s">
        <v>1256</v>
      </c>
      <c r="E2493">
        <v>9</v>
      </c>
    </row>
    <row r="2494" spans="1:5" x14ac:dyDescent="0.2">
      <c r="A2494">
        <v>10037928</v>
      </c>
      <c r="B2494">
        <v>23721604</v>
      </c>
      <c r="C2494">
        <v>20</v>
      </c>
      <c r="D2494" s="1" t="s">
        <v>260</v>
      </c>
      <c r="E2494">
        <v>9</v>
      </c>
    </row>
    <row r="2495" spans="1:5" x14ac:dyDescent="0.2">
      <c r="A2495">
        <v>10037928</v>
      </c>
      <c r="B2495">
        <v>23721604</v>
      </c>
      <c r="C2495">
        <v>19</v>
      </c>
      <c r="D2495" s="1" t="s">
        <v>285</v>
      </c>
      <c r="E2495">
        <v>9</v>
      </c>
    </row>
    <row r="2496" spans="1:5" x14ac:dyDescent="0.2">
      <c r="A2496">
        <v>10037928</v>
      </c>
      <c r="B2496">
        <v>23721604</v>
      </c>
      <c r="C2496">
        <v>11</v>
      </c>
      <c r="D2496" s="1" t="s">
        <v>293</v>
      </c>
      <c r="E2496">
        <v>9</v>
      </c>
    </row>
    <row r="2497" spans="1:5" x14ac:dyDescent="0.2">
      <c r="A2497">
        <v>10037928</v>
      </c>
      <c r="B2497">
        <v>23721604</v>
      </c>
      <c r="C2497">
        <v>15</v>
      </c>
      <c r="D2497" s="1" t="s">
        <v>259</v>
      </c>
      <c r="E2497">
        <v>9</v>
      </c>
    </row>
    <row r="2498" spans="1:5" x14ac:dyDescent="0.2">
      <c r="A2498">
        <v>10037928</v>
      </c>
      <c r="B2498">
        <v>24225421</v>
      </c>
      <c r="C2498">
        <v>8</v>
      </c>
      <c r="D2498" s="1" t="s">
        <v>514</v>
      </c>
      <c r="E2498">
        <v>9</v>
      </c>
    </row>
    <row r="2499" spans="1:5" x14ac:dyDescent="0.2">
      <c r="A2499">
        <v>10037928</v>
      </c>
      <c r="B2499">
        <v>24225421</v>
      </c>
      <c r="C2499">
        <v>15</v>
      </c>
      <c r="D2499" s="1" t="s">
        <v>272</v>
      </c>
      <c r="E2499">
        <v>9</v>
      </c>
    </row>
    <row r="2500" spans="1:5" x14ac:dyDescent="0.2">
      <c r="A2500">
        <v>10037928</v>
      </c>
      <c r="B2500">
        <v>24225421</v>
      </c>
      <c r="C2500">
        <v>6</v>
      </c>
      <c r="D2500" s="1" t="s">
        <v>390</v>
      </c>
      <c r="E2500">
        <v>9</v>
      </c>
    </row>
    <row r="2501" spans="1:5" x14ac:dyDescent="0.2">
      <c r="A2501">
        <v>10037928</v>
      </c>
      <c r="B2501">
        <v>24225421</v>
      </c>
      <c r="C2501">
        <v>11</v>
      </c>
      <c r="D2501" s="1" t="s">
        <v>406</v>
      </c>
      <c r="E2501">
        <v>9</v>
      </c>
    </row>
    <row r="2502" spans="1:5" x14ac:dyDescent="0.2">
      <c r="A2502">
        <v>10037928</v>
      </c>
      <c r="B2502">
        <v>24225421</v>
      </c>
      <c r="C2502">
        <v>13</v>
      </c>
      <c r="D2502" s="1" t="s">
        <v>768</v>
      </c>
      <c r="E2502">
        <v>9</v>
      </c>
    </row>
    <row r="2503" spans="1:5" x14ac:dyDescent="0.2">
      <c r="A2503">
        <v>10037928</v>
      </c>
      <c r="B2503">
        <v>24225421</v>
      </c>
      <c r="C2503">
        <v>17</v>
      </c>
      <c r="D2503" s="1" t="s">
        <v>1257</v>
      </c>
      <c r="E2503">
        <v>9</v>
      </c>
    </row>
    <row r="2504" spans="1:5" x14ac:dyDescent="0.2">
      <c r="A2504">
        <v>10037928</v>
      </c>
      <c r="B2504">
        <v>24225421</v>
      </c>
      <c r="C2504">
        <v>9</v>
      </c>
      <c r="D2504" s="1" t="s">
        <v>260</v>
      </c>
      <c r="E2504">
        <v>9</v>
      </c>
    </row>
    <row r="2505" spans="1:5" x14ac:dyDescent="0.2">
      <c r="A2505">
        <v>10037928</v>
      </c>
      <c r="B2505">
        <v>24225421</v>
      </c>
      <c r="C2505">
        <v>16</v>
      </c>
      <c r="D2505" s="1" t="s">
        <v>350</v>
      </c>
      <c r="E2505">
        <v>9</v>
      </c>
    </row>
    <row r="2506" spans="1:5" x14ac:dyDescent="0.2">
      <c r="A2506">
        <v>10037928</v>
      </c>
      <c r="B2506">
        <v>24225421</v>
      </c>
      <c r="C2506">
        <v>5</v>
      </c>
      <c r="D2506" s="1" t="s">
        <v>1050</v>
      </c>
      <c r="E2506">
        <v>9</v>
      </c>
    </row>
    <row r="2507" spans="1:5" x14ac:dyDescent="0.2">
      <c r="A2507">
        <v>10037928</v>
      </c>
      <c r="B2507">
        <v>24225421</v>
      </c>
      <c r="C2507">
        <v>7</v>
      </c>
      <c r="D2507" s="1" t="s">
        <v>259</v>
      </c>
      <c r="E2507">
        <v>9</v>
      </c>
    </row>
    <row r="2508" spans="1:5" x14ac:dyDescent="0.2">
      <c r="A2508">
        <v>10037928</v>
      </c>
      <c r="B2508">
        <v>24225421</v>
      </c>
      <c r="C2508">
        <v>12</v>
      </c>
      <c r="D2508" s="1" t="s">
        <v>293</v>
      </c>
      <c r="E2508">
        <v>9</v>
      </c>
    </row>
    <row r="2509" spans="1:5" x14ac:dyDescent="0.2">
      <c r="A2509">
        <v>10037928</v>
      </c>
      <c r="B2509">
        <v>24225421</v>
      </c>
      <c r="C2509">
        <v>14</v>
      </c>
      <c r="D2509" s="1" t="s">
        <v>499</v>
      </c>
      <c r="E2509">
        <v>9</v>
      </c>
    </row>
    <row r="2510" spans="1:5" x14ac:dyDescent="0.2">
      <c r="A2510">
        <v>10037928</v>
      </c>
      <c r="B2510">
        <v>24225421</v>
      </c>
      <c r="C2510">
        <v>3</v>
      </c>
      <c r="D2510" s="1" t="s">
        <v>273</v>
      </c>
      <c r="E2510">
        <v>9</v>
      </c>
    </row>
    <row r="2511" spans="1:5" x14ac:dyDescent="0.2">
      <c r="A2511">
        <v>10037928</v>
      </c>
      <c r="B2511">
        <v>24225421</v>
      </c>
      <c r="C2511">
        <v>1</v>
      </c>
      <c r="D2511" s="1" t="s">
        <v>1258</v>
      </c>
      <c r="E2511">
        <v>9</v>
      </c>
    </row>
    <row r="2512" spans="1:5" x14ac:dyDescent="0.2">
      <c r="A2512">
        <v>10037928</v>
      </c>
      <c r="B2512">
        <v>24225421</v>
      </c>
      <c r="C2512">
        <v>4</v>
      </c>
      <c r="D2512" s="1" t="s">
        <v>384</v>
      </c>
      <c r="E2512">
        <v>9</v>
      </c>
    </row>
    <row r="2513" spans="1:5" x14ac:dyDescent="0.2">
      <c r="A2513">
        <v>10037928</v>
      </c>
      <c r="B2513">
        <v>24225421</v>
      </c>
      <c r="C2513">
        <v>10</v>
      </c>
      <c r="D2513" s="1" t="s">
        <v>296</v>
      </c>
      <c r="E2513">
        <v>9</v>
      </c>
    </row>
    <row r="2514" spans="1:5" x14ac:dyDescent="0.2">
      <c r="A2514">
        <v>10037928</v>
      </c>
      <c r="B2514">
        <v>24225421</v>
      </c>
      <c r="C2514">
        <v>2</v>
      </c>
      <c r="D2514" s="1" t="s">
        <v>409</v>
      </c>
      <c r="E2514">
        <v>9</v>
      </c>
    </row>
    <row r="2515" spans="1:5" x14ac:dyDescent="0.2">
      <c r="A2515">
        <v>10037928</v>
      </c>
      <c r="B2515">
        <v>22228639</v>
      </c>
      <c r="C2515">
        <v>1</v>
      </c>
      <c r="D2515" s="1" t="s">
        <v>1259</v>
      </c>
      <c r="E2515">
        <v>10</v>
      </c>
    </row>
    <row r="2516" spans="1:5" x14ac:dyDescent="0.2">
      <c r="A2516">
        <v>10037928</v>
      </c>
      <c r="B2516">
        <v>22228639</v>
      </c>
      <c r="C2516">
        <v>11</v>
      </c>
      <c r="D2516" s="1" t="s">
        <v>438</v>
      </c>
      <c r="E2516">
        <v>10</v>
      </c>
    </row>
    <row r="2517" spans="1:5" x14ac:dyDescent="0.2">
      <c r="A2517">
        <v>10037928</v>
      </c>
      <c r="B2517">
        <v>22228639</v>
      </c>
      <c r="C2517">
        <v>8</v>
      </c>
      <c r="D2517" s="1" t="s">
        <v>328</v>
      </c>
      <c r="E2517">
        <v>10</v>
      </c>
    </row>
    <row r="2518" spans="1:5" x14ac:dyDescent="0.2">
      <c r="A2518">
        <v>10037928</v>
      </c>
      <c r="B2518">
        <v>22228639</v>
      </c>
      <c r="C2518">
        <v>9</v>
      </c>
      <c r="D2518" s="1" t="s">
        <v>478</v>
      </c>
      <c r="E2518">
        <v>10</v>
      </c>
    </row>
    <row r="2519" spans="1:5" x14ac:dyDescent="0.2">
      <c r="A2519">
        <v>10037928</v>
      </c>
      <c r="B2519">
        <v>22228639</v>
      </c>
      <c r="C2519">
        <v>15</v>
      </c>
      <c r="D2519" s="1" t="s">
        <v>1260</v>
      </c>
      <c r="E2519">
        <v>10</v>
      </c>
    </row>
    <row r="2520" spans="1:5" x14ac:dyDescent="0.2">
      <c r="A2520">
        <v>10037928</v>
      </c>
      <c r="B2520">
        <v>22228639</v>
      </c>
      <c r="C2520">
        <v>12</v>
      </c>
      <c r="D2520" s="1" t="s">
        <v>329</v>
      </c>
      <c r="E2520">
        <v>10</v>
      </c>
    </row>
    <row r="2521" spans="1:5" x14ac:dyDescent="0.2">
      <c r="A2521">
        <v>10037928</v>
      </c>
      <c r="B2521">
        <v>22228639</v>
      </c>
      <c r="C2521">
        <v>5</v>
      </c>
      <c r="D2521" s="1" t="s">
        <v>617</v>
      </c>
      <c r="E2521">
        <v>10</v>
      </c>
    </row>
    <row r="2522" spans="1:5" x14ac:dyDescent="0.2">
      <c r="A2522">
        <v>10037928</v>
      </c>
      <c r="B2522">
        <v>22228639</v>
      </c>
      <c r="C2522">
        <v>4</v>
      </c>
      <c r="D2522" s="1" t="s">
        <v>1103</v>
      </c>
      <c r="E2522">
        <v>10</v>
      </c>
    </row>
    <row r="2523" spans="1:5" x14ac:dyDescent="0.2">
      <c r="A2523">
        <v>10037928</v>
      </c>
      <c r="B2523">
        <v>22228639</v>
      </c>
      <c r="C2523">
        <v>7</v>
      </c>
      <c r="D2523" s="1" t="s">
        <v>519</v>
      </c>
      <c r="E2523">
        <v>10</v>
      </c>
    </row>
    <row r="2524" spans="1:5" x14ac:dyDescent="0.2">
      <c r="A2524">
        <v>10037928</v>
      </c>
      <c r="B2524">
        <v>22228639</v>
      </c>
      <c r="C2524">
        <v>14</v>
      </c>
      <c r="D2524" s="1" t="s">
        <v>987</v>
      </c>
      <c r="E2524">
        <v>10</v>
      </c>
    </row>
    <row r="2525" spans="1:5" x14ac:dyDescent="0.2">
      <c r="A2525">
        <v>10037928</v>
      </c>
      <c r="B2525">
        <v>22228639</v>
      </c>
      <c r="C2525">
        <v>2</v>
      </c>
      <c r="D2525" s="1" t="s">
        <v>1261</v>
      </c>
      <c r="E2525">
        <v>10</v>
      </c>
    </row>
    <row r="2526" spans="1:5" x14ac:dyDescent="0.2">
      <c r="A2526">
        <v>10037928</v>
      </c>
      <c r="B2526">
        <v>22228639</v>
      </c>
      <c r="C2526">
        <v>10</v>
      </c>
      <c r="D2526" s="1" t="s">
        <v>1070</v>
      </c>
      <c r="E2526">
        <v>10</v>
      </c>
    </row>
    <row r="2527" spans="1:5" x14ac:dyDescent="0.2">
      <c r="A2527">
        <v>10037928</v>
      </c>
      <c r="B2527">
        <v>22228639</v>
      </c>
      <c r="C2527">
        <v>3</v>
      </c>
      <c r="D2527" s="1" t="s">
        <v>868</v>
      </c>
      <c r="E2527">
        <v>10</v>
      </c>
    </row>
    <row r="2528" spans="1:5" x14ac:dyDescent="0.2">
      <c r="A2528">
        <v>10037928</v>
      </c>
      <c r="B2528">
        <v>22228639</v>
      </c>
      <c r="C2528">
        <v>6</v>
      </c>
      <c r="D2528" s="1" t="s">
        <v>1262</v>
      </c>
      <c r="E2528">
        <v>10</v>
      </c>
    </row>
    <row r="2529" spans="1:5" x14ac:dyDescent="0.2">
      <c r="A2529">
        <v>10037928</v>
      </c>
      <c r="B2529">
        <v>22228639</v>
      </c>
      <c r="C2529">
        <v>13</v>
      </c>
      <c r="D2529" s="1" t="s">
        <v>379</v>
      </c>
      <c r="E2529">
        <v>10</v>
      </c>
    </row>
    <row r="2530" spans="1:5" x14ac:dyDescent="0.2">
      <c r="A2530">
        <v>10037928</v>
      </c>
      <c r="B2530">
        <v>28543425</v>
      </c>
      <c r="C2530">
        <v>2</v>
      </c>
      <c r="D2530" s="1" t="s">
        <v>1263</v>
      </c>
      <c r="E2530">
        <v>9</v>
      </c>
    </row>
    <row r="2531" spans="1:5" x14ac:dyDescent="0.2">
      <c r="A2531">
        <v>10037928</v>
      </c>
      <c r="B2531">
        <v>28543425</v>
      </c>
      <c r="C2531">
        <v>6</v>
      </c>
      <c r="D2531" s="1" t="s">
        <v>296</v>
      </c>
      <c r="E2531">
        <v>9</v>
      </c>
    </row>
    <row r="2532" spans="1:5" x14ac:dyDescent="0.2">
      <c r="A2532">
        <v>10037928</v>
      </c>
      <c r="B2532">
        <v>28543425</v>
      </c>
      <c r="C2532">
        <v>5</v>
      </c>
      <c r="D2532" s="1" t="s">
        <v>384</v>
      </c>
      <c r="E2532">
        <v>9</v>
      </c>
    </row>
    <row r="2533" spans="1:5" x14ac:dyDescent="0.2">
      <c r="A2533">
        <v>10037928</v>
      </c>
      <c r="B2533">
        <v>28543425</v>
      </c>
      <c r="C2533">
        <v>4</v>
      </c>
      <c r="D2533" s="1" t="s">
        <v>353</v>
      </c>
      <c r="E2533">
        <v>9</v>
      </c>
    </row>
    <row r="2534" spans="1:5" x14ac:dyDescent="0.2">
      <c r="A2534">
        <v>10037928</v>
      </c>
      <c r="B2534">
        <v>28543425</v>
      </c>
      <c r="C2534">
        <v>3</v>
      </c>
      <c r="D2534" s="1" t="s">
        <v>340</v>
      </c>
      <c r="E2534">
        <v>9</v>
      </c>
    </row>
    <row r="2535" spans="1:5" x14ac:dyDescent="0.2">
      <c r="A2535">
        <v>10037928</v>
      </c>
      <c r="B2535">
        <v>28543425</v>
      </c>
      <c r="C2535">
        <v>1</v>
      </c>
      <c r="D2535" s="1" t="s">
        <v>960</v>
      </c>
      <c r="E2535">
        <v>9</v>
      </c>
    </row>
    <row r="2536" spans="1:5" x14ac:dyDescent="0.2">
      <c r="A2536">
        <v>10037928</v>
      </c>
      <c r="B2536">
        <v>29802992</v>
      </c>
      <c r="C2536">
        <v>3</v>
      </c>
      <c r="D2536" s="1" t="s">
        <v>409</v>
      </c>
      <c r="E2536">
        <v>9</v>
      </c>
    </row>
    <row r="2537" spans="1:5" x14ac:dyDescent="0.2">
      <c r="A2537">
        <v>10037928</v>
      </c>
      <c r="B2537">
        <v>29802992</v>
      </c>
      <c r="C2537">
        <v>4</v>
      </c>
      <c r="D2537" s="1" t="s">
        <v>390</v>
      </c>
      <c r="E2537">
        <v>9</v>
      </c>
    </row>
    <row r="2538" spans="1:5" x14ac:dyDescent="0.2">
      <c r="A2538">
        <v>10037928</v>
      </c>
      <c r="B2538">
        <v>29802992</v>
      </c>
      <c r="C2538">
        <v>21</v>
      </c>
      <c r="D2538" s="1" t="s">
        <v>339</v>
      </c>
      <c r="E2538">
        <v>9</v>
      </c>
    </row>
    <row r="2539" spans="1:5" x14ac:dyDescent="0.2">
      <c r="A2539">
        <v>10037928</v>
      </c>
      <c r="B2539">
        <v>29802992</v>
      </c>
      <c r="C2539">
        <v>1</v>
      </c>
      <c r="D2539" s="1" t="s">
        <v>273</v>
      </c>
      <c r="E2539">
        <v>9</v>
      </c>
    </row>
    <row r="2540" spans="1:5" x14ac:dyDescent="0.2">
      <c r="A2540">
        <v>10037928</v>
      </c>
      <c r="B2540">
        <v>29802992</v>
      </c>
      <c r="C2540">
        <v>8</v>
      </c>
      <c r="D2540" s="1" t="s">
        <v>266</v>
      </c>
      <c r="E2540">
        <v>9</v>
      </c>
    </row>
    <row r="2541" spans="1:5" x14ac:dyDescent="0.2">
      <c r="A2541">
        <v>10037928</v>
      </c>
      <c r="B2541">
        <v>29802992</v>
      </c>
      <c r="C2541">
        <v>26</v>
      </c>
      <c r="D2541" s="1" t="s">
        <v>1250</v>
      </c>
      <c r="E2541">
        <v>9</v>
      </c>
    </row>
    <row r="2542" spans="1:5" x14ac:dyDescent="0.2">
      <c r="A2542">
        <v>10037928</v>
      </c>
      <c r="B2542">
        <v>29802992</v>
      </c>
      <c r="C2542">
        <v>17</v>
      </c>
      <c r="D2542" s="1" t="s">
        <v>350</v>
      </c>
      <c r="E2542">
        <v>9</v>
      </c>
    </row>
    <row r="2543" spans="1:5" x14ac:dyDescent="0.2">
      <c r="A2543">
        <v>10037928</v>
      </c>
      <c r="B2543">
        <v>29802992</v>
      </c>
      <c r="C2543">
        <v>14</v>
      </c>
      <c r="D2543" s="1" t="s">
        <v>259</v>
      </c>
      <c r="E2543">
        <v>9</v>
      </c>
    </row>
    <row r="2544" spans="1:5" x14ac:dyDescent="0.2">
      <c r="A2544">
        <v>10037928</v>
      </c>
      <c r="B2544">
        <v>29802992</v>
      </c>
      <c r="C2544">
        <v>2</v>
      </c>
      <c r="D2544" s="1" t="s">
        <v>804</v>
      </c>
      <c r="E2544">
        <v>9</v>
      </c>
    </row>
    <row r="2545" spans="1:5" x14ac:dyDescent="0.2">
      <c r="A2545">
        <v>10037928</v>
      </c>
      <c r="B2545">
        <v>29802992</v>
      </c>
      <c r="C2545">
        <v>22</v>
      </c>
      <c r="D2545" s="1" t="s">
        <v>413</v>
      </c>
      <c r="E2545">
        <v>9</v>
      </c>
    </row>
    <row r="2546" spans="1:5" x14ac:dyDescent="0.2">
      <c r="A2546">
        <v>10037928</v>
      </c>
      <c r="B2546">
        <v>29802992</v>
      </c>
      <c r="C2546">
        <v>13</v>
      </c>
      <c r="D2546" s="1" t="s">
        <v>406</v>
      </c>
      <c r="E2546">
        <v>9</v>
      </c>
    </row>
    <row r="2547" spans="1:5" x14ac:dyDescent="0.2">
      <c r="A2547">
        <v>10037928</v>
      </c>
      <c r="B2547">
        <v>29802992</v>
      </c>
      <c r="C2547">
        <v>15</v>
      </c>
      <c r="D2547" s="1" t="s">
        <v>1264</v>
      </c>
      <c r="E2547">
        <v>9</v>
      </c>
    </row>
    <row r="2548" spans="1:5" x14ac:dyDescent="0.2">
      <c r="A2548">
        <v>10037928</v>
      </c>
      <c r="B2548">
        <v>29802992</v>
      </c>
      <c r="C2548">
        <v>18</v>
      </c>
      <c r="D2548" s="1" t="s">
        <v>514</v>
      </c>
      <c r="E2548">
        <v>9</v>
      </c>
    </row>
    <row r="2549" spans="1:5" x14ac:dyDescent="0.2">
      <c r="A2549">
        <v>10037928</v>
      </c>
      <c r="B2549">
        <v>29802992</v>
      </c>
      <c r="C2549">
        <v>20</v>
      </c>
      <c r="D2549" s="1" t="s">
        <v>1254</v>
      </c>
      <c r="E2549">
        <v>9</v>
      </c>
    </row>
    <row r="2550" spans="1:5" x14ac:dyDescent="0.2">
      <c r="A2550">
        <v>10037928</v>
      </c>
      <c r="B2550">
        <v>29802992</v>
      </c>
      <c r="C2550">
        <v>5</v>
      </c>
      <c r="D2550" s="1" t="s">
        <v>256</v>
      </c>
      <c r="E2550">
        <v>9</v>
      </c>
    </row>
    <row r="2551" spans="1:5" x14ac:dyDescent="0.2">
      <c r="A2551">
        <v>10037928</v>
      </c>
      <c r="B2551">
        <v>29802992</v>
      </c>
      <c r="C2551">
        <v>9</v>
      </c>
      <c r="D2551" s="1" t="s">
        <v>1050</v>
      </c>
      <c r="E2551">
        <v>9</v>
      </c>
    </row>
    <row r="2552" spans="1:5" x14ac:dyDescent="0.2">
      <c r="A2552">
        <v>10037928</v>
      </c>
      <c r="B2552">
        <v>29802992</v>
      </c>
      <c r="C2552">
        <v>6</v>
      </c>
      <c r="D2552" s="1" t="s">
        <v>416</v>
      </c>
      <c r="E2552">
        <v>9</v>
      </c>
    </row>
    <row r="2553" spans="1:5" x14ac:dyDescent="0.2">
      <c r="A2553">
        <v>10037928</v>
      </c>
      <c r="B2553">
        <v>29802992</v>
      </c>
      <c r="C2553">
        <v>7</v>
      </c>
      <c r="D2553" s="1" t="s">
        <v>633</v>
      </c>
      <c r="E2553">
        <v>9</v>
      </c>
    </row>
    <row r="2554" spans="1:5" x14ac:dyDescent="0.2">
      <c r="A2554">
        <v>10037928</v>
      </c>
      <c r="B2554">
        <v>29802992</v>
      </c>
      <c r="C2554">
        <v>24</v>
      </c>
      <c r="D2554" s="1" t="s">
        <v>260</v>
      </c>
      <c r="E2554">
        <v>9</v>
      </c>
    </row>
    <row r="2555" spans="1:5" x14ac:dyDescent="0.2">
      <c r="A2555">
        <v>10037928</v>
      </c>
      <c r="B2555">
        <v>29802992</v>
      </c>
      <c r="C2555">
        <v>11</v>
      </c>
      <c r="D2555" s="1" t="s">
        <v>499</v>
      </c>
      <c r="E2555">
        <v>9</v>
      </c>
    </row>
    <row r="2556" spans="1:5" x14ac:dyDescent="0.2">
      <c r="A2556">
        <v>10037928</v>
      </c>
      <c r="B2556">
        <v>29802992</v>
      </c>
      <c r="C2556">
        <v>12</v>
      </c>
      <c r="D2556" s="1" t="s">
        <v>293</v>
      </c>
      <c r="E2556">
        <v>9</v>
      </c>
    </row>
    <row r="2557" spans="1:5" x14ac:dyDescent="0.2">
      <c r="A2557">
        <v>10037928</v>
      </c>
      <c r="B2557">
        <v>29802992</v>
      </c>
      <c r="C2557">
        <v>23</v>
      </c>
      <c r="D2557" s="1" t="s">
        <v>768</v>
      </c>
      <c r="E2557">
        <v>9</v>
      </c>
    </row>
    <row r="2558" spans="1:5" x14ac:dyDescent="0.2">
      <c r="A2558">
        <v>10037928</v>
      </c>
      <c r="B2558">
        <v>29802992</v>
      </c>
      <c r="C2558">
        <v>25</v>
      </c>
      <c r="D2558" s="1" t="s">
        <v>728</v>
      </c>
      <c r="E2558">
        <v>9</v>
      </c>
    </row>
    <row r="2559" spans="1:5" x14ac:dyDescent="0.2">
      <c r="A2559">
        <v>10037928</v>
      </c>
      <c r="B2559">
        <v>29802992</v>
      </c>
      <c r="C2559">
        <v>19</v>
      </c>
      <c r="D2559" s="1" t="s">
        <v>853</v>
      </c>
      <c r="E2559">
        <v>9</v>
      </c>
    </row>
    <row r="2560" spans="1:5" x14ac:dyDescent="0.2">
      <c r="A2560">
        <v>10037928</v>
      </c>
      <c r="B2560">
        <v>29802992</v>
      </c>
      <c r="C2560">
        <v>10</v>
      </c>
      <c r="D2560" s="1" t="s">
        <v>538</v>
      </c>
      <c r="E2560">
        <v>9</v>
      </c>
    </row>
    <row r="2561" spans="1:5" x14ac:dyDescent="0.2">
      <c r="A2561">
        <v>10037928</v>
      </c>
      <c r="B2561">
        <v>29802992</v>
      </c>
      <c r="C2561">
        <v>16</v>
      </c>
      <c r="D2561" s="1" t="s">
        <v>1265</v>
      </c>
      <c r="E2561">
        <v>9</v>
      </c>
    </row>
    <row r="2562" spans="1:5" x14ac:dyDescent="0.2">
      <c r="A2562">
        <v>10037928</v>
      </c>
      <c r="B2562">
        <v>22326517</v>
      </c>
      <c r="C2562">
        <v>9</v>
      </c>
      <c r="D2562" s="1" t="s">
        <v>499</v>
      </c>
      <c r="E2562">
        <v>9</v>
      </c>
    </row>
    <row r="2563" spans="1:5" x14ac:dyDescent="0.2">
      <c r="A2563">
        <v>10037928</v>
      </c>
      <c r="B2563">
        <v>22326517</v>
      </c>
      <c r="C2563">
        <v>6</v>
      </c>
      <c r="D2563" s="1" t="s">
        <v>1266</v>
      </c>
      <c r="E2563">
        <v>9</v>
      </c>
    </row>
    <row r="2564" spans="1:5" x14ac:dyDescent="0.2">
      <c r="A2564">
        <v>10037928</v>
      </c>
      <c r="B2564">
        <v>22326517</v>
      </c>
      <c r="C2564">
        <v>4</v>
      </c>
      <c r="D2564" s="1" t="s">
        <v>384</v>
      </c>
      <c r="E2564">
        <v>9</v>
      </c>
    </row>
    <row r="2565" spans="1:5" x14ac:dyDescent="0.2">
      <c r="A2565">
        <v>10037928</v>
      </c>
      <c r="B2565">
        <v>22326517</v>
      </c>
      <c r="C2565">
        <v>12</v>
      </c>
      <c r="D2565" s="1" t="s">
        <v>1267</v>
      </c>
      <c r="E2565">
        <v>9</v>
      </c>
    </row>
    <row r="2566" spans="1:5" x14ac:dyDescent="0.2">
      <c r="A2566">
        <v>10037928</v>
      </c>
      <c r="B2566">
        <v>22326517</v>
      </c>
      <c r="C2566">
        <v>8</v>
      </c>
      <c r="D2566" s="1" t="s">
        <v>406</v>
      </c>
      <c r="E2566">
        <v>9</v>
      </c>
    </row>
    <row r="2567" spans="1:5" x14ac:dyDescent="0.2">
      <c r="A2567">
        <v>10037928</v>
      </c>
      <c r="B2567">
        <v>22326517</v>
      </c>
      <c r="C2567">
        <v>1</v>
      </c>
      <c r="D2567" s="1" t="s">
        <v>404</v>
      </c>
      <c r="E2567">
        <v>9</v>
      </c>
    </row>
    <row r="2568" spans="1:5" x14ac:dyDescent="0.2">
      <c r="A2568">
        <v>10037928</v>
      </c>
      <c r="B2568">
        <v>22326517</v>
      </c>
      <c r="C2568">
        <v>3</v>
      </c>
      <c r="D2568" s="1" t="s">
        <v>1244</v>
      </c>
      <c r="E2568">
        <v>9</v>
      </c>
    </row>
    <row r="2569" spans="1:5" x14ac:dyDescent="0.2">
      <c r="A2569">
        <v>10037928</v>
      </c>
      <c r="B2569">
        <v>22326517</v>
      </c>
      <c r="C2569">
        <v>10</v>
      </c>
      <c r="D2569" s="1" t="s">
        <v>728</v>
      </c>
      <c r="E2569">
        <v>9</v>
      </c>
    </row>
    <row r="2570" spans="1:5" x14ac:dyDescent="0.2">
      <c r="A2570">
        <v>10037928</v>
      </c>
      <c r="B2570">
        <v>22326517</v>
      </c>
      <c r="C2570">
        <v>13</v>
      </c>
      <c r="D2570" s="1" t="s">
        <v>293</v>
      </c>
      <c r="E2570">
        <v>9</v>
      </c>
    </row>
    <row r="2571" spans="1:5" x14ac:dyDescent="0.2">
      <c r="A2571">
        <v>10037928</v>
      </c>
      <c r="B2571">
        <v>22326517</v>
      </c>
      <c r="C2571">
        <v>7</v>
      </c>
      <c r="D2571" s="1" t="s">
        <v>259</v>
      </c>
      <c r="E2571">
        <v>9</v>
      </c>
    </row>
    <row r="2572" spans="1:5" x14ac:dyDescent="0.2">
      <c r="A2572">
        <v>10037928</v>
      </c>
      <c r="B2572">
        <v>22326517</v>
      </c>
      <c r="C2572">
        <v>11</v>
      </c>
      <c r="D2572" s="1" t="s">
        <v>296</v>
      </c>
      <c r="E2572">
        <v>9</v>
      </c>
    </row>
    <row r="2573" spans="1:5" x14ac:dyDescent="0.2">
      <c r="A2573">
        <v>10037928</v>
      </c>
      <c r="B2573">
        <v>22326517</v>
      </c>
      <c r="C2573">
        <v>2</v>
      </c>
      <c r="D2573" s="1" t="s">
        <v>273</v>
      </c>
      <c r="E2573">
        <v>9</v>
      </c>
    </row>
    <row r="2574" spans="1:5" x14ac:dyDescent="0.2">
      <c r="A2574">
        <v>10037928</v>
      </c>
      <c r="B2574">
        <v>22326517</v>
      </c>
      <c r="C2574">
        <v>5</v>
      </c>
      <c r="D2574" s="1" t="s">
        <v>390</v>
      </c>
      <c r="E2574">
        <v>9</v>
      </c>
    </row>
    <row r="2575" spans="1:5" x14ac:dyDescent="0.2">
      <c r="A2575">
        <v>10035631</v>
      </c>
      <c r="B2575">
        <v>29276678</v>
      </c>
      <c r="C2575">
        <v>13</v>
      </c>
      <c r="D2575" s="1" t="s">
        <v>422</v>
      </c>
      <c r="E2575">
        <v>10</v>
      </c>
    </row>
    <row r="2576" spans="1:5" x14ac:dyDescent="0.2">
      <c r="A2576">
        <v>10035631</v>
      </c>
      <c r="B2576">
        <v>29276678</v>
      </c>
      <c r="C2576">
        <v>29</v>
      </c>
      <c r="D2576" s="1" t="s">
        <v>563</v>
      </c>
      <c r="E2576">
        <v>10</v>
      </c>
    </row>
    <row r="2577" spans="1:5" x14ac:dyDescent="0.2">
      <c r="A2577">
        <v>10035631</v>
      </c>
      <c r="B2577">
        <v>29276678</v>
      </c>
      <c r="C2577">
        <v>10</v>
      </c>
      <c r="D2577" s="1" t="s">
        <v>1268</v>
      </c>
      <c r="E2577">
        <v>10</v>
      </c>
    </row>
    <row r="2578" spans="1:5" x14ac:dyDescent="0.2">
      <c r="A2578">
        <v>10035631</v>
      </c>
      <c r="B2578">
        <v>29276678</v>
      </c>
      <c r="C2578">
        <v>24</v>
      </c>
      <c r="D2578" s="1" t="s">
        <v>324</v>
      </c>
      <c r="E2578">
        <v>10</v>
      </c>
    </row>
    <row r="2579" spans="1:5" x14ac:dyDescent="0.2">
      <c r="A2579">
        <v>10035631</v>
      </c>
      <c r="B2579">
        <v>29276678</v>
      </c>
      <c r="C2579">
        <v>4</v>
      </c>
      <c r="D2579" s="1" t="s">
        <v>564</v>
      </c>
      <c r="E2579">
        <v>10</v>
      </c>
    </row>
    <row r="2580" spans="1:5" x14ac:dyDescent="0.2">
      <c r="A2580">
        <v>10035631</v>
      </c>
      <c r="B2580">
        <v>29276678</v>
      </c>
      <c r="C2580">
        <v>22</v>
      </c>
      <c r="D2580" s="1" t="s">
        <v>1024</v>
      </c>
      <c r="E2580">
        <v>10</v>
      </c>
    </row>
    <row r="2581" spans="1:5" x14ac:dyDescent="0.2">
      <c r="A2581">
        <v>10035631</v>
      </c>
      <c r="B2581">
        <v>29276678</v>
      </c>
      <c r="C2581">
        <v>7</v>
      </c>
      <c r="D2581" s="1" t="s">
        <v>1269</v>
      </c>
      <c r="E2581">
        <v>10</v>
      </c>
    </row>
    <row r="2582" spans="1:5" x14ac:dyDescent="0.2">
      <c r="A2582">
        <v>10035631</v>
      </c>
      <c r="B2582">
        <v>29276678</v>
      </c>
      <c r="C2582">
        <v>1</v>
      </c>
      <c r="D2582" s="1" t="s">
        <v>793</v>
      </c>
      <c r="E2582">
        <v>10</v>
      </c>
    </row>
    <row r="2583" spans="1:5" x14ac:dyDescent="0.2">
      <c r="A2583">
        <v>10035631</v>
      </c>
      <c r="B2583">
        <v>29276678</v>
      </c>
      <c r="C2583">
        <v>32</v>
      </c>
      <c r="D2583" s="1" t="s">
        <v>792</v>
      </c>
      <c r="E2583">
        <v>10</v>
      </c>
    </row>
    <row r="2584" spans="1:5" x14ac:dyDescent="0.2">
      <c r="A2584">
        <v>10035631</v>
      </c>
      <c r="B2584">
        <v>29276678</v>
      </c>
      <c r="C2584">
        <v>14</v>
      </c>
      <c r="D2584" s="1" t="s">
        <v>423</v>
      </c>
      <c r="E2584">
        <v>10</v>
      </c>
    </row>
    <row r="2585" spans="1:5" x14ac:dyDescent="0.2">
      <c r="A2585">
        <v>10035631</v>
      </c>
      <c r="B2585">
        <v>29276678</v>
      </c>
      <c r="C2585">
        <v>16</v>
      </c>
      <c r="D2585" s="1" t="s">
        <v>891</v>
      </c>
      <c r="E2585">
        <v>10</v>
      </c>
    </row>
    <row r="2586" spans="1:5" x14ac:dyDescent="0.2">
      <c r="A2586">
        <v>10035631</v>
      </c>
      <c r="B2586">
        <v>29276678</v>
      </c>
      <c r="C2586">
        <v>26</v>
      </c>
      <c r="D2586" s="1" t="s">
        <v>1090</v>
      </c>
      <c r="E2586">
        <v>10</v>
      </c>
    </row>
    <row r="2587" spans="1:5" x14ac:dyDescent="0.2">
      <c r="A2587">
        <v>10035631</v>
      </c>
      <c r="B2587">
        <v>29276678</v>
      </c>
      <c r="C2587">
        <v>27</v>
      </c>
      <c r="D2587" s="1" t="s">
        <v>1270</v>
      </c>
      <c r="E2587">
        <v>10</v>
      </c>
    </row>
    <row r="2588" spans="1:5" x14ac:dyDescent="0.2">
      <c r="A2588">
        <v>10035631</v>
      </c>
      <c r="B2588">
        <v>29276678</v>
      </c>
      <c r="C2588">
        <v>33</v>
      </c>
      <c r="D2588" s="1" t="s">
        <v>673</v>
      </c>
      <c r="E2588">
        <v>10</v>
      </c>
    </row>
    <row r="2589" spans="1:5" x14ac:dyDescent="0.2">
      <c r="A2589">
        <v>10035631</v>
      </c>
      <c r="B2589">
        <v>29276678</v>
      </c>
      <c r="C2589">
        <v>20</v>
      </c>
      <c r="D2589" s="1" t="s">
        <v>1271</v>
      </c>
      <c r="E2589">
        <v>10</v>
      </c>
    </row>
    <row r="2590" spans="1:5" x14ac:dyDescent="0.2">
      <c r="A2590">
        <v>10035631</v>
      </c>
      <c r="B2590">
        <v>29276678</v>
      </c>
      <c r="C2590">
        <v>36</v>
      </c>
      <c r="D2590" s="1" t="s">
        <v>337</v>
      </c>
      <c r="E2590">
        <v>10</v>
      </c>
    </row>
    <row r="2591" spans="1:5" x14ac:dyDescent="0.2">
      <c r="A2591">
        <v>10035631</v>
      </c>
      <c r="B2591">
        <v>29276678</v>
      </c>
      <c r="C2591">
        <v>11</v>
      </c>
      <c r="D2591" s="1" t="s">
        <v>1272</v>
      </c>
      <c r="E2591">
        <v>10</v>
      </c>
    </row>
    <row r="2592" spans="1:5" x14ac:dyDescent="0.2">
      <c r="A2592">
        <v>10035631</v>
      </c>
      <c r="B2592">
        <v>29276678</v>
      </c>
      <c r="C2592">
        <v>17</v>
      </c>
      <c r="D2592" s="1" t="s">
        <v>1273</v>
      </c>
      <c r="E2592">
        <v>10</v>
      </c>
    </row>
    <row r="2593" spans="1:5" x14ac:dyDescent="0.2">
      <c r="A2593">
        <v>10035631</v>
      </c>
      <c r="B2593">
        <v>29276678</v>
      </c>
      <c r="C2593">
        <v>8</v>
      </c>
      <c r="D2593" s="1" t="s">
        <v>625</v>
      </c>
      <c r="E2593">
        <v>10</v>
      </c>
    </row>
    <row r="2594" spans="1:5" x14ac:dyDescent="0.2">
      <c r="A2594">
        <v>10035631</v>
      </c>
      <c r="B2594">
        <v>29276678</v>
      </c>
      <c r="C2594">
        <v>31</v>
      </c>
      <c r="D2594" s="1" t="s">
        <v>1274</v>
      </c>
      <c r="E2594">
        <v>10</v>
      </c>
    </row>
    <row r="2595" spans="1:5" x14ac:dyDescent="0.2">
      <c r="A2595">
        <v>10035631</v>
      </c>
      <c r="B2595">
        <v>29276678</v>
      </c>
      <c r="C2595">
        <v>19</v>
      </c>
      <c r="D2595" s="1" t="s">
        <v>1275</v>
      </c>
      <c r="E2595">
        <v>10</v>
      </c>
    </row>
    <row r="2596" spans="1:5" x14ac:dyDescent="0.2">
      <c r="A2596">
        <v>10035631</v>
      </c>
      <c r="B2596">
        <v>29276678</v>
      </c>
      <c r="C2596">
        <v>28</v>
      </c>
      <c r="D2596" s="1" t="s">
        <v>1094</v>
      </c>
      <c r="E2596">
        <v>10</v>
      </c>
    </row>
    <row r="2597" spans="1:5" x14ac:dyDescent="0.2">
      <c r="A2597">
        <v>10035631</v>
      </c>
      <c r="B2597">
        <v>29276678</v>
      </c>
      <c r="C2597">
        <v>25</v>
      </c>
      <c r="D2597" s="1" t="s">
        <v>927</v>
      </c>
      <c r="E2597">
        <v>10</v>
      </c>
    </row>
    <row r="2598" spans="1:5" x14ac:dyDescent="0.2">
      <c r="A2598">
        <v>10035631</v>
      </c>
      <c r="B2598">
        <v>29276678</v>
      </c>
      <c r="C2598">
        <v>9</v>
      </c>
      <c r="D2598" s="1" t="s">
        <v>1276</v>
      </c>
      <c r="E2598">
        <v>10</v>
      </c>
    </row>
    <row r="2599" spans="1:5" x14ac:dyDescent="0.2">
      <c r="A2599">
        <v>10035631</v>
      </c>
      <c r="B2599">
        <v>29276678</v>
      </c>
      <c r="C2599">
        <v>21</v>
      </c>
      <c r="D2599" s="1" t="s">
        <v>421</v>
      </c>
      <c r="E2599">
        <v>10</v>
      </c>
    </row>
    <row r="2600" spans="1:5" x14ac:dyDescent="0.2">
      <c r="A2600">
        <v>10035631</v>
      </c>
      <c r="B2600">
        <v>29276678</v>
      </c>
      <c r="C2600">
        <v>34</v>
      </c>
      <c r="D2600" s="1" t="s">
        <v>1277</v>
      </c>
      <c r="E2600">
        <v>10</v>
      </c>
    </row>
    <row r="2601" spans="1:5" x14ac:dyDescent="0.2">
      <c r="A2601">
        <v>10035631</v>
      </c>
      <c r="B2601">
        <v>29276678</v>
      </c>
      <c r="C2601">
        <v>6</v>
      </c>
      <c r="D2601" s="1" t="s">
        <v>432</v>
      </c>
      <c r="E2601">
        <v>10</v>
      </c>
    </row>
    <row r="2602" spans="1:5" x14ac:dyDescent="0.2">
      <c r="A2602">
        <v>10035631</v>
      </c>
      <c r="B2602">
        <v>29276678</v>
      </c>
      <c r="C2602">
        <v>35</v>
      </c>
      <c r="D2602" s="1" t="s">
        <v>430</v>
      </c>
      <c r="E2602">
        <v>10</v>
      </c>
    </row>
    <row r="2603" spans="1:5" x14ac:dyDescent="0.2">
      <c r="A2603">
        <v>10035631</v>
      </c>
      <c r="B2603">
        <v>29276678</v>
      </c>
      <c r="C2603">
        <v>18</v>
      </c>
      <c r="D2603" s="1" t="s">
        <v>1223</v>
      </c>
      <c r="E2603">
        <v>10</v>
      </c>
    </row>
    <row r="2604" spans="1:5" x14ac:dyDescent="0.2">
      <c r="A2604">
        <v>10035631</v>
      </c>
      <c r="B2604">
        <v>29276678</v>
      </c>
      <c r="C2604">
        <v>23</v>
      </c>
      <c r="D2604" s="1" t="s">
        <v>1278</v>
      </c>
      <c r="E2604">
        <v>10</v>
      </c>
    </row>
    <row r="2605" spans="1:5" x14ac:dyDescent="0.2">
      <c r="A2605">
        <v>10035631</v>
      </c>
      <c r="B2605">
        <v>29276678</v>
      </c>
      <c r="C2605">
        <v>30</v>
      </c>
      <c r="D2605" s="1" t="s">
        <v>733</v>
      </c>
      <c r="E2605">
        <v>10</v>
      </c>
    </row>
    <row r="2606" spans="1:5" x14ac:dyDescent="0.2">
      <c r="A2606">
        <v>10035631</v>
      </c>
      <c r="B2606">
        <v>29276678</v>
      </c>
      <c r="C2606">
        <v>2</v>
      </c>
      <c r="D2606" s="1" t="s">
        <v>735</v>
      </c>
      <c r="E2606">
        <v>10</v>
      </c>
    </row>
    <row r="2607" spans="1:5" x14ac:dyDescent="0.2">
      <c r="A2607">
        <v>10035631</v>
      </c>
      <c r="B2607">
        <v>29276678</v>
      </c>
      <c r="C2607">
        <v>3</v>
      </c>
      <c r="D2607" s="1" t="s">
        <v>978</v>
      </c>
      <c r="E2607">
        <v>10</v>
      </c>
    </row>
    <row r="2608" spans="1:5" x14ac:dyDescent="0.2">
      <c r="A2608">
        <v>10035631</v>
      </c>
      <c r="B2608">
        <v>29276678</v>
      </c>
      <c r="C2608">
        <v>5</v>
      </c>
      <c r="D2608" s="1" t="s">
        <v>1279</v>
      </c>
      <c r="E2608">
        <v>10</v>
      </c>
    </row>
    <row r="2609" spans="1:5" x14ac:dyDescent="0.2">
      <c r="A2609">
        <v>10035631</v>
      </c>
      <c r="B2609">
        <v>29276678</v>
      </c>
      <c r="C2609">
        <v>12</v>
      </c>
      <c r="D2609" s="1" t="s">
        <v>1280</v>
      </c>
      <c r="E2609">
        <v>10</v>
      </c>
    </row>
    <row r="2610" spans="1:5" x14ac:dyDescent="0.2">
      <c r="A2610">
        <v>10035631</v>
      </c>
      <c r="B2610">
        <v>29276678</v>
      </c>
      <c r="C2610">
        <v>15</v>
      </c>
      <c r="D2610" s="1" t="s">
        <v>429</v>
      </c>
      <c r="E2610">
        <v>10</v>
      </c>
    </row>
    <row r="2611" spans="1:5" x14ac:dyDescent="0.2">
      <c r="A2611">
        <v>10035631</v>
      </c>
      <c r="B2611">
        <v>22732862</v>
      </c>
      <c r="C2611">
        <v>1</v>
      </c>
      <c r="D2611" s="1" t="s">
        <v>1281</v>
      </c>
      <c r="E2611">
        <v>9</v>
      </c>
    </row>
    <row r="2612" spans="1:5" x14ac:dyDescent="0.2">
      <c r="A2612">
        <v>10035631</v>
      </c>
      <c r="B2612">
        <v>22732862</v>
      </c>
      <c r="C2612">
        <v>5</v>
      </c>
      <c r="D2612" s="1" t="s">
        <v>1282</v>
      </c>
      <c r="E2612">
        <v>9</v>
      </c>
    </row>
    <row r="2613" spans="1:5" x14ac:dyDescent="0.2">
      <c r="A2613">
        <v>10035631</v>
      </c>
      <c r="B2613">
        <v>22732862</v>
      </c>
      <c r="C2613">
        <v>8</v>
      </c>
      <c r="D2613" s="1" t="s">
        <v>359</v>
      </c>
      <c r="E2613">
        <v>9</v>
      </c>
    </row>
    <row r="2614" spans="1:5" x14ac:dyDescent="0.2">
      <c r="A2614">
        <v>10035631</v>
      </c>
      <c r="B2614">
        <v>22732862</v>
      </c>
      <c r="C2614">
        <v>6</v>
      </c>
      <c r="D2614" s="1" t="s">
        <v>288</v>
      </c>
      <c r="E2614">
        <v>9</v>
      </c>
    </row>
    <row r="2615" spans="1:5" x14ac:dyDescent="0.2">
      <c r="A2615">
        <v>10035631</v>
      </c>
      <c r="B2615">
        <v>22732862</v>
      </c>
      <c r="C2615">
        <v>2</v>
      </c>
      <c r="D2615" s="1" t="s">
        <v>1283</v>
      </c>
      <c r="E2615">
        <v>9</v>
      </c>
    </row>
    <row r="2616" spans="1:5" x14ac:dyDescent="0.2">
      <c r="A2616">
        <v>10035631</v>
      </c>
      <c r="B2616">
        <v>22732862</v>
      </c>
      <c r="C2616">
        <v>7</v>
      </c>
      <c r="D2616" s="1" t="s">
        <v>369</v>
      </c>
      <c r="E2616">
        <v>9</v>
      </c>
    </row>
    <row r="2617" spans="1:5" x14ac:dyDescent="0.2">
      <c r="A2617">
        <v>10035631</v>
      </c>
      <c r="B2617">
        <v>22732862</v>
      </c>
      <c r="C2617">
        <v>9</v>
      </c>
      <c r="D2617" s="1" t="s">
        <v>252</v>
      </c>
      <c r="E2617">
        <v>9</v>
      </c>
    </row>
    <row r="2618" spans="1:5" x14ac:dyDescent="0.2">
      <c r="A2618">
        <v>10035631</v>
      </c>
      <c r="B2618">
        <v>22732862</v>
      </c>
      <c r="C2618">
        <v>3</v>
      </c>
      <c r="D2618" s="1" t="s">
        <v>1284</v>
      </c>
      <c r="E2618">
        <v>9</v>
      </c>
    </row>
    <row r="2619" spans="1:5" x14ac:dyDescent="0.2">
      <c r="A2619">
        <v>10035631</v>
      </c>
      <c r="B2619">
        <v>22732862</v>
      </c>
      <c r="C2619">
        <v>4</v>
      </c>
      <c r="D2619" s="1" t="s">
        <v>1285</v>
      </c>
      <c r="E2619">
        <v>9</v>
      </c>
    </row>
    <row r="2620" spans="1:5" x14ac:dyDescent="0.2">
      <c r="A2620">
        <v>10035631</v>
      </c>
      <c r="B2620">
        <v>29462354</v>
      </c>
      <c r="C2620">
        <v>7</v>
      </c>
      <c r="D2620" s="1" t="s">
        <v>252</v>
      </c>
      <c r="E2620">
        <v>9</v>
      </c>
    </row>
    <row r="2621" spans="1:5" x14ac:dyDescent="0.2">
      <c r="A2621">
        <v>10035631</v>
      </c>
      <c r="B2621">
        <v>29462354</v>
      </c>
      <c r="C2621">
        <v>17</v>
      </c>
      <c r="D2621" s="1" t="s">
        <v>1286</v>
      </c>
      <c r="E2621">
        <v>9</v>
      </c>
    </row>
    <row r="2622" spans="1:5" x14ac:dyDescent="0.2">
      <c r="A2622">
        <v>10035631</v>
      </c>
      <c r="B2622">
        <v>29462354</v>
      </c>
      <c r="C2622">
        <v>12</v>
      </c>
      <c r="D2622" s="1" t="s">
        <v>359</v>
      </c>
      <c r="E2622">
        <v>9</v>
      </c>
    </row>
    <row r="2623" spans="1:5" x14ac:dyDescent="0.2">
      <c r="A2623">
        <v>10035631</v>
      </c>
      <c r="B2623">
        <v>29462354</v>
      </c>
      <c r="C2623">
        <v>2</v>
      </c>
      <c r="D2623" s="1" t="s">
        <v>1287</v>
      </c>
      <c r="E2623">
        <v>9</v>
      </c>
    </row>
    <row r="2624" spans="1:5" x14ac:dyDescent="0.2">
      <c r="A2624">
        <v>10035631</v>
      </c>
      <c r="B2624">
        <v>29462354</v>
      </c>
      <c r="C2624">
        <v>18</v>
      </c>
      <c r="D2624" s="1" t="s">
        <v>1288</v>
      </c>
      <c r="E2624">
        <v>9</v>
      </c>
    </row>
    <row r="2625" spans="1:5" x14ac:dyDescent="0.2">
      <c r="A2625">
        <v>10035631</v>
      </c>
      <c r="B2625">
        <v>29462354</v>
      </c>
      <c r="C2625">
        <v>11</v>
      </c>
      <c r="D2625" s="1" t="s">
        <v>369</v>
      </c>
      <c r="E2625">
        <v>9</v>
      </c>
    </row>
    <row r="2626" spans="1:5" x14ac:dyDescent="0.2">
      <c r="A2626">
        <v>10035631</v>
      </c>
      <c r="B2626">
        <v>29462354</v>
      </c>
      <c r="C2626">
        <v>14</v>
      </c>
      <c r="D2626" s="1" t="s">
        <v>1289</v>
      </c>
      <c r="E2626">
        <v>9</v>
      </c>
    </row>
    <row r="2627" spans="1:5" x14ac:dyDescent="0.2">
      <c r="A2627">
        <v>10035631</v>
      </c>
      <c r="B2627">
        <v>29462354</v>
      </c>
      <c r="C2627">
        <v>1</v>
      </c>
      <c r="D2627" s="1" t="s">
        <v>1285</v>
      </c>
      <c r="E2627">
        <v>9</v>
      </c>
    </row>
    <row r="2628" spans="1:5" x14ac:dyDescent="0.2">
      <c r="A2628">
        <v>10035631</v>
      </c>
      <c r="B2628">
        <v>29462354</v>
      </c>
      <c r="C2628">
        <v>10</v>
      </c>
      <c r="D2628" s="1" t="s">
        <v>302</v>
      </c>
      <c r="E2628">
        <v>9</v>
      </c>
    </row>
    <row r="2629" spans="1:5" x14ac:dyDescent="0.2">
      <c r="A2629">
        <v>10035631</v>
      </c>
      <c r="B2629">
        <v>29462354</v>
      </c>
      <c r="C2629">
        <v>3</v>
      </c>
      <c r="D2629" s="1" t="s">
        <v>1282</v>
      </c>
      <c r="E2629">
        <v>9</v>
      </c>
    </row>
    <row r="2630" spans="1:5" x14ac:dyDescent="0.2">
      <c r="A2630">
        <v>10035631</v>
      </c>
      <c r="B2630">
        <v>29462354</v>
      </c>
      <c r="C2630">
        <v>4</v>
      </c>
      <c r="D2630" s="1" t="s">
        <v>1290</v>
      </c>
      <c r="E2630">
        <v>9</v>
      </c>
    </row>
    <row r="2631" spans="1:5" x14ac:dyDescent="0.2">
      <c r="A2631">
        <v>10035631</v>
      </c>
      <c r="B2631">
        <v>29462354</v>
      </c>
      <c r="C2631">
        <v>6</v>
      </c>
      <c r="D2631" s="1" t="s">
        <v>1291</v>
      </c>
      <c r="E2631">
        <v>9</v>
      </c>
    </row>
    <row r="2632" spans="1:5" x14ac:dyDescent="0.2">
      <c r="A2632">
        <v>10035631</v>
      </c>
      <c r="B2632">
        <v>29462354</v>
      </c>
      <c r="C2632">
        <v>9</v>
      </c>
      <c r="D2632" s="1" t="s">
        <v>1292</v>
      </c>
      <c r="E2632">
        <v>9</v>
      </c>
    </row>
    <row r="2633" spans="1:5" x14ac:dyDescent="0.2">
      <c r="A2633">
        <v>10035631</v>
      </c>
      <c r="B2633">
        <v>29462354</v>
      </c>
      <c r="C2633">
        <v>16</v>
      </c>
      <c r="D2633" s="1" t="s">
        <v>266</v>
      </c>
      <c r="E2633">
        <v>9</v>
      </c>
    </row>
    <row r="2634" spans="1:5" x14ac:dyDescent="0.2">
      <c r="A2634">
        <v>10035631</v>
      </c>
      <c r="B2634">
        <v>29462354</v>
      </c>
      <c r="C2634">
        <v>5</v>
      </c>
      <c r="D2634" s="1" t="s">
        <v>1293</v>
      </c>
      <c r="E2634">
        <v>9</v>
      </c>
    </row>
    <row r="2635" spans="1:5" x14ac:dyDescent="0.2">
      <c r="A2635">
        <v>10035631</v>
      </c>
      <c r="B2635">
        <v>29462354</v>
      </c>
      <c r="C2635">
        <v>8</v>
      </c>
      <c r="D2635" s="1" t="s">
        <v>1294</v>
      </c>
      <c r="E2635">
        <v>9</v>
      </c>
    </row>
    <row r="2636" spans="1:5" x14ac:dyDescent="0.2">
      <c r="A2636">
        <v>10035631</v>
      </c>
      <c r="B2636">
        <v>29462354</v>
      </c>
      <c r="C2636">
        <v>13</v>
      </c>
      <c r="D2636" s="1" t="s">
        <v>1295</v>
      </c>
      <c r="E2636">
        <v>9</v>
      </c>
    </row>
    <row r="2637" spans="1:5" x14ac:dyDescent="0.2">
      <c r="A2637">
        <v>10035631</v>
      </c>
      <c r="B2637">
        <v>29462354</v>
      </c>
      <c r="C2637">
        <v>15</v>
      </c>
      <c r="D2637" s="1" t="s">
        <v>1296</v>
      </c>
      <c r="E2637">
        <v>9</v>
      </c>
    </row>
    <row r="2638" spans="1:5" x14ac:dyDescent="0.2">
      <c r="A2638">
        <v>10035631</v>
      </c>
      <c r="B2638">
        <v>27496788</v>
      </c>
      <c r="C2638">
        <v>2</v>
      </c>
      <c r="D2638" s="1" t="s">
        <v>404</v>
      </c>
      <c r="E2638">
        <v>9</v>
      </c>
    </row>
    <row r="2639" spans="1:5" x14ac:dyDescent="0.2">
      <c r="A2639">
        <v>10035631</v>
      </c>
      <c r="B2639">
        <v>27496788</v>
      </c>
      <c r="C2639">
        <v>3</v>
      </c>
      <c r="D2639" s="1" t="s">
        <v>1284</v>
      </c>
      <c r="E2639">
        <v>9</v>
      </c>
    </row>
    <row r="2640" spans="1:5" x14ac:dyDescent="0.2">
      <c r="A2640">
        <v>10035631</v>
      </c>
      <c r="B2640">
        <v>27496788</v>
      </c>
      <c r="C2640">
        <v>4</v>
      </c>
      <c r="D2640" s="1" t="s">
        <v>1285</v>
      </c>
      <c r="E2640">
        <v>9</v>
      </c>
    </row>
    <row r="2641" spans="1:5" x14ac:dyDescent="0.2">
      <c r="A2641">
        <v>10035631</v>
      </c>
      <c r="B2641">
        <v>27496788</v>
      </c>
      <c r="C2641">
        <v>11</v>
      </c>
      <c r="D2641" s="1" t="s">
        <v>510</v>
      </c>
      <c r="E2641">
        <v>9</v>
      </c>
    </row>
    <row r="2642" spans="1:5" x14ac:dyDescent="0.2">
      <c r="A2642">
        <v>10035631</v>
      </c>
      <c r="B2642">
        <v>27496788</v>
      </c>
      <c r="C2642">
        <v>14</v>
      </c>
      <c r="D2642" s="1" t="s">
        <v>252</v>
      </c>
      <c r="E2642">
        <v>9</v>
      </c>
    </row>
    <row r="2643" spans="1:5" x14ac:dyDescent="0.2">
      <c r="A2643">
        <v>10035631</v>
      </c>
      <c r="B2643">
        <v>27496788</v>
      </c>
      <c r="C2643">
        <v>13</v>
      </c>
      <c r="D2643" s="1" t="s">
        <v>1297</v>
      </c>
      <c r="E2643">
        <v>9</v>
      </c>
    </row>
    <row r="2644" spans="1:5" x14ac:dyDescent="0.2">
      <c r="A2644">
        <v>10035631</v>
      </c>
      <c r="B2644">
        <v>27496788</v>
      </c>
      <c r="C2644">
        <v>6</v>
      </c>
      <c r="D2644" s="1" t="s">
        <v>662</v>
      </c>
      <c r="E2644">
        <v>9</v>
      </c>
    </row>
    <row r="2645" spans="1:5" x14ac:dyDescent="0.2">
      <c r="A2645">
        <v>10035631</v>
      </c>
      <c r="B2645">
        <v>27496788</v>
      </c>
      <c r="C2645">
        <v>12</v>
      </c>
      <c r="D2645" s="1" t="s">
        <v>301</v>
      </c>
      <c r="E2645">
        <v>9</v>
      </c>
    </row>
    <row r="2646" spans="1:5" x14ac:dyDescent="0.2">
      <c r="A2646">
        <v>10035631</v>
      </c>
      <c r="B2646">
        <v>27496788</v>
      </c>
      <c r="C2646">
        <v>7</v>
      </c>
      <c r="D2646" s="1" t="s">
        <v>1298</v>
      </c>
      <c r="E2646">
        <v>9</v>
      </c>
    </row>
    <row r="2647" spans="1:5" x14ac:dyDescent="0.2">
      <c r="A2647">
        <v>10035631</v>
      </c>
      <c r="B2647">
        <v>27496788</v>
      </c>
      <c r="C2647">
        <v>5</v>
      </c>
      <c r="D2647" s="1" t="s">
        <v>1299</v>
      </c>
      <c r="E2647">
        <v>9</v>
      </c>
    </row>
    <row r="2648" spans="1:5" x14ac:dyDescent="0.2">
      <c r="A2648">
        <v>10035631</v>
      </c>
      <c r="B2648">
        <v>27496788</v>
      </c>
      <c r="C2648">
        <v>9</v>
      </c>
      <c r="D2648" s="1" t="s">
        <v>359</v>
      </c>
      <c r="E2648">
        <v>9</v>
      </c>
    </row>
    <row r="2649" spans="1:5" x14ac:dyDescent="0.2">
      <c r="A2649">
        <v>10035631</v>
      </c>
      <c r="B2649">
        <v>27496788</v>
      </c>
      <c r="C2649">
        <v>10</v>
      </c>
      <c r="D2649" s="1" t="s">
        <v>1300</v>
      </c>
      <c r="E2649">
        <v>9</v>
      </c>
    </row>
    <row r="2650" spans="1:5" x14ac:dyDescent="0.2">
      <c r="A2650">
        <v>10035631</v>
      </c>
      <c r="B2650">
        <v>27496788</v>
      </c>
      <c r="C2650">
        <v>1</v>
      </c>
      <c r="D2650" s="1" t="s">
        <v>470</v>
      </c>
      <c r="E2650">
        <v>9</v>
      </c>
    </row>
    <row r="2651" spans="1:5" x14ac:dyDescent="0.2">
      <c r="A2651">
        <v>10035631</v>
      </c>
      <c r="B2651">
        <v>27496788</v>
      </c>
      <c r="C2651">
        <v>8</v>
      </c>
      <c r="D2651" s="1" t="s">
        <v>1301</v>
      </c>
      <c r="E2651">
        <v>9</v>
      </c>
    </row>
    <row r="2652" spans="1:5" x14ac:dyDescent="0.2">
      <c r="A2652">
        <v>10035631</v>
      </c>
      <c r="B2652">
        <v>21476294</v>
      </c>
      <c r="C2652">
        <v>18</v>
      </c>
      <c r="D2652" s="1" t="s">
        <v>1302</v>
      </c>
      <c r="E2652">
        <v>10</v>
      </c>
    </row>
    <row r="2653" spans="1:5" x14ac:dyDescent="0.2">
      <c r="A2653">
        <v>10035631</v>
      </c>
      <c r="B2653">
        <v>21476294</v>
      </c>
      <c r="C2653">
        <v>7</v>
      </c>
      <c r="D2653" s="1" t="s">
        <v>429</v>
      </c>
      <c r="E2653">
        <v>10</v>
      </c>
    </row>
    <row r="2654" spans="1:5" x14ac:dyDescent="0.2">
      <c r="A2654">
        <v>10035631</v>
      </c>
      <c r="B2654">
        <v>21476294</v>
      </c>
      <c r="C2654">
        <v>19</v>
      </c>
      <c r="D2654" s="1" t="s">
        <v>337</v>
      </c>
      <c r="E2654">
        <v>10</v>
      </c>
    </row>
    <row r="2655" spans="1:5" x14ac:dyDescent="0.2">
      <c r="A2655">
        <v>10035631</v>
      </c>
      <c r="B2655">
        <v>21476294</v>
      </c>
      <c r="C2655">
        <v>20</v>
      </c>
      <c r="D2655" s="1" t="s">
        <v>1303</v>
      </c>
      <c r="E2655">
        <v>10</v>
      </c>
    </row>
    <row r="2656" spans="1:5" x14ac:dyDescent="0.2">
      <c r="A2656">
        <v>10035631</v>
      </c>
      <c r="B2656">
        <v>21476294</v>
      </c>
      <c r="C2656">
        <v>4</v>
      </c>
      <c r="D2656" s="1" t="s">
        <v>1275</v>
      </c>
      <c r="E2656">
        <v>10</v>
      </c>
    </row>
    <row r="2657" spans="1:5" x14ac:dyDescent="0.2">
      <c r="A2657">
        <v>10035631</v>
      </c>
      <c r="B2657">
        <v>21476294</v>
      </c>
      <c r="C2657">
        <v>13</v>
      </c>
      <c r="D2657" s="1" t="s">
        <v>1304</v>
      </c>
      <c r="E2657">
        <v>10</v>
      </c>
    </row>
    <row r="2658" spans="1:5" x14ac:dyDescent="0.2">
      <c r="A2658">
        <v>10035631</v>
      </c>
      <c r="B2658">
        <v>21476294</v>
      </c>
      <c r="C2658">
        <v>17</v>
      </c>
      <c r="D2658" s="1" t="s">
        <v>893</v>
      </c>
      <c r="E2658">
        <v>10</v>
      </c>
    </row>
    <row r="2659" spans="1:5" x14ac:dyDescent="0.2">
      <c r="A2659">
        <v>10035631</v>
      </c>
      <c r="B2659">
        <v>21476294</v>
      </c>
      <c r="C2659">
        <v>24</v>
      </c>
      <c r="D2659" s="1" t="s">
        <v>1238</v>
      </c>
      <c r="E2659">
        <v>10</v>
      </c>
    </row>
    <row r="2660" spans="1:5" x14ac:dyDescent="0.2">
      <c r="A2660">
        <v>10035631</v>
      </c>
      <c r="B2660">
        <v>21476294</v>
      </c>
      <c r="C2660">
        <v>2</v>
      </c>
      <c r="D2660" s="1" t="s">
        <v>330</v>
      </c>
      <c r="E2660">
        <v>10</v>
      </c>
    </row>
    <row r="2661" spans="1:5" x14ac:dyDescent="0.2">
      <c r="A2661">
        <v>10035631</v>
      </c>
      <c r="B2661">
        <v>21476294</v>
      </c>
      <c r="C2661">
        <v>23</v>
      </c>
      <c r="D2661" s="1" t="s">
        <v>1305</v>
      </c>
      <c r="E2661">
        <v>10</v>
      </c>
    </row>
    <row r="2662" spans="1:5" x14ac:dyDescent="0.2">
      <c r="A2662">
        <v>10035631</v>
      </c>
      <c r="B2662">
        <v>21476294</v>
      </c>
      <c r="C2662">
        <v>22</v>
      </c>
      <c r="D2662" s="1" t="s">
        <v>1306</v>
      </c>
      <c r="E2662">
        <v>10</v>
      </c>
    </row>
    <row r="2663" spans="1:5" x14ac:dyDescent="0.2">
      <c r="A2663">
        <v>10035631</v>
      </c>
      <c r="B2663">
        <v>21476294</v>
      </c>
      <c r="C2663">
        <v>3</v>
      </c>
      <c r="D2663" s="1" t="s">
        <v>1272</v>
      </c>
      <c r="E2663">
        <v>10</v>
      </c>
    </row>
    <row r="2664" spans="1:5" x14ac:dyDescent="0.2">
      <c r="A2664">
        <v>10035631</v>
      </c>
      <c r="B2664">
        <v>21476294</v>
      </c>
      <c r="C2664">
        <v>10</v>
      </c>
      <c r="D2664" s="1" t="s">
        <v>1106</v>
      </c>
      <c r="E2664">
        <v>10</v>
      </c>
    </row>
    <row r="2665" spans="1:5" x14ac:dyDescent="0.2">
      <c r="A2665">
        <v>10035631</v>
      </c>
      <c r="B2665">
        <v>21476294</v>
      </c>
      <c r="C2665">
        <v>16</v>
      </c>
      <c r="D2665" s="1" t="s">
        <v>1307</v>
      </c>
      <c r="E2665">
        <v>10</v>
      </c>
    </row>
    <row r="2666" spans="1:5" x14ac:dyDescent="0.2">
      <c r="A2666">
        <v>10035631</v>
      </c>
      <c r="B2666">
        <v>21476294</v>
      </c>
      <c r="C2666">
        <v>21</v>
      </c>
      <c r="D2666" s="1" t="s">
        <v>1308</v>
      </c>
      <c r="E2666">
        <v>10</v>
      </c>
    </row>
    <row r="2667" spans="1:5" x14ac:dyDescent="0.2">
      <c r="A2667">
        <v>10035631</v>
      </c>
      <c r="B2667">
        <v>21476294</v>
      </c>
      <c r="C2667">
        <v>11</v>
      </c>
      <c r="D2667" s="1" t="s">
        <v>1278</v>
      </c>
      <c r="E2667">
        <v>10</v>
      </c>
    </row>
    <row r="2668" spans="1:5" x14ac:dyDescent="0.2">
      <c r="A2668">
        <v>10035631</v>
      </c>
      <c r="B2668">
        <v>21476294</v>
      </c>
      <c r="C2668">
        <v>15</v>
      </c>
      <c r="D2668" s="1" t="s">
        <v>430</v>
      </c>
      <c r="E2668">
        <v>10</v>
      </c>
    </row>
    <row r="2669" spans="1:5" x14ac:dyDescent="0.2">
      <c r="A2669">
        <v>10035631</v>
      </c>
      <c r="B2669">
        <v>21476294</v>
      </c>
      <c r="C2669">
        <v>9</v>
      </c>
      <c r="D2669" s="1" t="s">
        <v>1271</v>
      </c>
      <c r="E2669">
        <v>10</v>
      </c>
    </row>
    <row r="2670" spans="1:5" x14ac:dyDescent="0.2">
      <c r="A2670">
        <v>10035631</v>
      </c>
      <c r="B2670">
        <v>21476294</v>
      </c>
      <c r="C2670">
        <v>1</v>
      </c>
      <c r="D2670" s="1" t="s">
        <v>1309</v>
      </c>
      <c r="E2670">
        <v>10</v>
      </c>
    </row>
    <row r="2671" spans="1:5" x14ac:dyDescent="0.2">
      <c r="A2671">
        <v>10035631</v>
      </c>
      <c r="B2671">
        <v>21476294</v>
      </c>
      <c r="C2671">
        <v>8</v>
      </c>
      <c r="D2671" s="1" t="s">
        <v>1310</v>
      </c>
      <c r="E2671">
        <v>10</v>
      </c>
    </row>
    <row r="2672" spans="1:5" x14ac:dyDescent="0.2">
      <c r="A2672">
        <v>10035631</v>
      </c>
      <c r="B2672">
        <v>21476294</v>
      </c>
      <c r="C2672">
        <v>5</v>
      </c>
      <c r="D2672" s="1" t="s">
        <v>1311</v>
      </c>
      <c r="E2672">
        <v>10</v>
      </c>
    </row>
    <row r="2673" spans="1:5" x14ac:dyDescent="0.2">
      <c r="A2673">
        <v>10035631</v>
      </c>
      <c r="B2673">
        <v>21476294</v>
      </c>
      <c r="C2673">
        <v>6</v>
      </c>
      <c r="D2673" s="1" t="s">
        <v>309</v>
      </c>
      <c r="E2673">
        <v>10</v>
      </c>
    </row>
    <row r="2674" spans="1:5" x14ac:dyDescent="0.2">
      <c r="A2674">
        <v>10035631</v>
      </c>
      <c r="B2674">
        <v>21476294</v>
      </c>
      <c r="C2674">
        <v>12</v>
      </c>
      <c r="D2674" s="1" t="s">
        <v>673</v>
      </c>
      <c r="E2674">
        <v>10</v>
      </c>
    </row>
    <row r="2675" spans="1:5" x14ac:dyDescent="0.2">
      <c r="A2675">
        <v>10035631</v>
      </c>
      <c r="B2675">
        <v>21476294</v>
      </c>
      <c r="C2675">
        <v>14</v>
      </c>
      <c r="D2675" s="1" t="s">
        <v>1277</v>
      </c>
      <c r="E2675">
        <v>10</v>
      </c>
    </row>
    <row r="2676" spans="1:5" x14ac:dyDescent="0.2">
      <c r="A2676">
        <v>10035631</v>
      </c>
      <c r="B2676">
        <v>21599196</v>
      </c>
      <c r="C2676">
        <v>2</v>
      </c>
      <c r="D2676" s="1" t="s">
        <v>1312</v>
      </c>
      <c r="E2676">
        <v>10</v>
      </c>
    </row>
    <row r="2677" spans="1:5" x14ac:dyDescent="0.2">
      <c r="A2677">
        <v>10035631</v>
      </c>
      <c r="B2677">
        <v>21599196</v>
      </c>
      <c r="C2677">
        <v>5</v>
      </c>
      <c r="D2677" s="1" t="s">
        <v>430</v>
      </c>
      <c r="E2677">
        <v>10</v>
      </c>
    </row>
    <row r="2678" spans="1:5" x14ac:dyDescent="0.2">
      <c r="A2678">
        <v>10035631</v>
      </c>
      <c r="B2678">
        <v>21599196</v>
      </c>
      <c r="C2678">
        <v>4</v>
      </c>
      <c r="D2678" s="1" t="s">
        <v>673</v>
      </c>
      <c r="E2678">
        <v>10</v>
      </c>
    </row>
    <row r="2679" spans="1:5" x14ac:dyDescent="0.2">
      <c r="A2679">
        <v>10035631</v>
      </c>
      <c r="B2679">
        <v>21599196</v>
      </c>
      <c r="C2679">
        <v>1</v>
      </c>
      <c r="D2679" s="1" t="s">
        <v>1130</v>
      </c>
      <c r="E2679">
        <v>10</v>
      </c>
    </row>
    <row r="2680" spans="1:5" x14ac:dyDescent="0.2">
      <c r="A2680">
        <v>10035631</v>
      </c>
      <c r="B2680">
        <v>21599196</v>
      </c>
      <c r="C2680">
        <v>3</v>
      </c>
      <c r="D2680" s="1" t="s">
        <v>1272</v>
      </c>
      <c r="E2680">
        <v>10</v>
      </c>
    </row>
    <row r="2681" spans="1:5" x14ac:dyDescent="0.2">
      <c r="A2681">
        <v>10035631</v>
      </c>
      <c r="B2681">
        <v>24912093</v>
      </c>
      <c r="C2681">
        <v>5</v>
      </c>
      <c r="D2681" s="1" t="s">
        <v>1313</v>
      </c>
      <c r="E2681">
        <v>9</v>
      </c>
    </row>
    <row r="2682" spans="1:5" x14ac:dyDescent="0.2">
      <c r="A2682">
        <v>10035631</v>
      </c>
      <c r="B2682">
        <v>24912093</v>
      </c>
      <c r="C2682">
        <v>3</v>
      </c>
      <c r="D2682" s="1" t="s">
        <v>252</v>
      </c>
      <c r="E2682">
        <v>9</v>
      </c>
    </row>
    <row r="2683" spans="1:5" x14ac:dyDescent="0.2">
      <c r="A2683">
        <v>10035631</v>
      </c>
      <c r="B2683">
        <v>24912093</v>
      </c>
      <c r="C2683">
        <v>4</v>
      </c>
      <c r="D2683" s="1" t="s">
        <v>359</v>
      </c>
      <c r="E2683">
        <v>9</v>
      </c>
    </row>
    <row r="2684" spans="1:5" x14ac:dyDescent="0.2">
      <c r="A2684">
        <v>10035631</v>
      </c>
      <c r="B2684">
        <v>24912093</v>
      </c>
      <c r="C2684">
        <v>1</v>
      </c>
      <c r="D2684" s="1" t="s">
        <v>1314</v>
      </c>
      <c r="E2684">
        <v>9</v>
      </c>
    </row>
    <row r="2685" spans="1:5" x14ac:dyDescent="0.2">
      <c r="A2685">
        <v>10035631</v>
      </c>
      <c r="B2685">
        <v>24912093</v>
      </c>
      <c r="C2685">
        <v>2</v>
      </c>
      <c r="D2685" s="1" t="s">
        <v>1315</v>
      </c>
      <c r="E2685">
        <v>9</v>
      </c>
    </row>
    <row r="2686" spans="1:5" x14ac:dyDescent="0.2">
      <c r="A2686">
        <v>10035631</v>
      </c>
      <c r="B2686">
        <v>29654498</v>
      </c>
      <c r="C2686">
        <v>1</v>
      </c>
      <c r="D2686" s="1" t="s">
        <v>1316</v>
      </c>
      <c r="E2686">
        <v>9</v>
      </c>
    </row>
    <row r="2687" spans="1:5" x14ac:dyDescent="0.2">
      <c r="A2687">
        <v>10035631</v>
      </c>
      <c r="B2687">
        <v>29654498</v>
      </c>
      <c r="C2687">
        <v>5</v>
      </c>
      <c r="D2687" s="1" t="s">
        <v>1299</v>
      </c>
      <c r="E2687">
        <v>9</v>
      </c>
    </row>
    <row r="2688" spans="1:5" x14ac:dyDescent="0.2">
      <c r="A2688">
        <v>10035631</v>
      </c>
      <c r="B2688">
        <v>29654498</v>
      </c>
      <c r="C2688">
        <v>3</v>
      </c>
      <c r="D2688" s="1" t="s">
        <v>1317</v>
      </c>
      <c r="E2688">
        <v>9</v>
      </c>
    </row>
    <row r="2689" spans="1:5" x14ac:dyDescent="0.2">
      <c r="A2689">
        <v>10035631</v>
      </c>
      <c r="B2689">
        <v>29654498</v>
      </c>
      <c r="C2689">
        <v>7</v>
      </c>
      <c r="D2689" s="1" t="s">
        <v>1318</v>
      </c>
      <c r="E2689">
        <v>9</v>
      </c>
    </row>
    <row r="2690" spans="1:5" x14ac:dyDescent="0.2">
      <c r="A2690">
        <v>10035631</v>
      </c>
      <c r="B2690">
        <v>29654498</v>
      </c>
      <c r="C2690">
        <v>2</v>
      </c>
      <c r="D2690" s="1" t="s">
        <v>1319</v>
      </c>
      <c r="E2690">
        <v>9</v>
      </c>
    </row>
    <row r="2691" spans="1:5" x14ac:dyDescent="0.2">
      <c r="A2691">
        <v>10035631</v>
      </c>
      <c r="B2691">
        <v>29654498</v>
      </c>
      <c r="C2691">
        <v>4</v>
      </c>
      <c r="D2691" s="1" t="s">
        <v>1285</v>
      </c>
      <c r="E2691">
        <v>9</v>
      </c>
    </row>
    <row r="2692" spans="1:5" x14ac:dyDescent="0.2">
      <c r="A2692">
        <v>10035631</v>
      </c>
      <c r="B2692">
        <v>29654498</v>
      </c>
      <c r="C2692">
        <v>6</v>
      </c>
      <c r="D2692" s="1" t="s">
        <v>359</v>
      </c>
      <c r="E2692">
        <v>9</v>
      </c>
    </row>
    <row r="2693" spans="1:5" x14ac:dyDescent="0.2">
      <c r="A2693">
        <v>10035631</v>
      </c>
      <c r="B2693">
        <v>20385771</v>
      </c>
      <c r="C2693">
        <v>8</v>
      </c>
      <c r="D2693" s="1" t="s">
        <v>266</v>
      </c>
      <c r="E2693">
        <v>9</v>
      </c>
    </row>
    <row r="2694" spans="1:5" x14ac:dyDescent="0.2">
      <c r="A2694">
        <v>10035631</v>
      </c>
      <c r="B2694">
        <v>20385771</v>
      </c>
      <c r="C2694">
        <v>14</v>
      </c>
      <c r="D2694" s="1" t="s">
        <v>359</v>
      </c>
      <c r="E2694">
        <v>9</v>
      </c>
    </row>
    <row r="2695" spans="1:5" x14ac:dyDescent="0.2">
      <c r="A2695">
        <v>10035631</v>
      </c>
      <c r="B2695">
        <v>20385771</v>
      </c>
      <c r="C2695">
        <v>7</v>
      </c>
      <c r="D2695" s="1" t="s">
        <v>832</v>
      </c>
      <c r="E2695">
        <v>9</v>
      </c>
    </row>
    <row r="2696" spans="1:5" x14ac:dyDescent="0.2">
      <c r="A2696">
        <v>10035631</v>
      </c>
      <c r="B2696">
        <v>20385771</v>
      </c>
      <c r="C2696">
        <v>12</v>
      </c>
      <c r="D2696" s="1" t="s">
        <v>1320</v>
      </c>
      <c r="E2696">
        <v>9</v>
      </c>
    </row>
    <row r="2697" spans="1:5" x14ac:dyDescent="0.2">
      <c r="A2697">
        <v>10035631</v>
      </c>
      <c r="B2697">
        <v>20385771</v>
      </c>
      <c r="C2697">
        <v>9</v>
      </c>
      <c r="D2697" s="1" t="s">
        <v>834</v>
      </c>
      <c r="E2697">
        <v>9</v>
      </c>
    </row>
    <row r="2698" spans="1:5" x14ac:dyDescent="0.2">
      <c r="A2698">
        <v>10035631</v>
      </c>
      <c r="B2698">
        <v>20385771</v>
      </c>
      <c r="C2698">
        <v>4</v>
      </c>
      <c r="D2698" s="1" t="s">
        <v>1321</v>
      </c>
      <c r="E2698">
        <v>9</v>
      </c>
    </row>
    <row r="2699" spans="1:5" x14ac:dyDescent="0.2">
      <c r="A2699">
        <v>10035631</v>
      </c>
      <c r="B2699">
        <v>20385771</v>
      </c>
      <c r="C2699">
        <v>1</v>
      </c>
      <c r="D2699" s="1" t="s">
        <v>1285</v>
      </c>
      <c r="E2699">
        <v>9</v>
      </c>
    </row>
    <row r="2700" spans="1:5" x14ac:dyDescent="0.2">
      <c r="A2700">
        <v>10035631</v>
      </c>
      <c r="B2700">
        <v>20385771</v>
      </c>
      <c r="C2700">
        <v>5</v>
      </c>
      <c r="D2700" s="1" t="s">
        <v>1255</v>
      </c>
      <c r="E2700">
        <v>9</v>
      </c>
    </row>
    <row r="2701" spans="1:5" x14ac:dyDescent="0.2">
      <c r="A2701">
        <v>10035631</v>
      </c>
      <c r="B2701">
        <v>20385771</v>
      </c>
      <c r="C2701">
        <v>18</v>
      </c>
      <c r="D2701" s="1" t="s">
        <v>1322</v>
      </c>
      <c r="E2701">
        <v>9</v>
      </c>
    </row>
    <row r="2702" spans="1:5" x14ac:dyDescent="0.2">
      <c r="A2702">
        <v>10035631</v>
      </c>
      <c r="B2702">
        <v>20385771</v>
      </c>
      <c r="C2702">
        <v>16</v>
      </c>
      <c r="D2702" s="1" t="s">
        <v>1323</v>
      </c>
      <c r="E2702">
        <v>9</v>
      </c>
    </row>
    <row r="2703" spans="1:5" x14ac:dyDescent="0.2">
      <c r="A2703">
        <v>10035631</v>
      </c>
      <c r="B2703">
        <v>20385771</v>
      </c>
      <c r="C2703">
        <v>15</v>
      </c>
      <c r="D2703" s="1" t="s">
        <v>296</v>
      </c>
      <c r="E2703">
        <v>9</v>
      </c>
    </row>
    <row r="2704" spans="1:5" x14ac:dyDescent="0.2">
      <c r="A2704">
        <v>10035631</v>
      </c>
      <c r="B2704">
        <v>20385771</v>
      </c>
      <c r="C2704">
        <v>13</v>
      </c>
      <c r="D2704" s="1" t="s">
        <v>369</v>
      </c>
      <c r="E2704">
        <v>9</v>
      </c>
    </row>
    <row r="2705" spans="1:5" x14ac:dyDescent="0.2">
      <c r="A2705">
        <v>10035631</v>
      </c>
      <c r="B2705">
        <v>20385771</v>
      </c>
      <c r="C2705">
        <v>2</v>
      </c>
      <c r="D2705" s="1" t="s">
        <v>1283</v>
      </c>
      <c r="E2705">
        <v>9</v>
      </c>
    </row>
    <row r="2706" spans="1:5" x14ac:dyDescent="0.2">
      <c r="A2706">
        <v>10035631</v>
      </c>
      <c r="B2706">
        <v>20385771</v>
      </c>
      <c r="C2706">
        <v>17</v>
      </c>
      <c r="D2706" s="1" t="s">
        <v>285</v>
      </c>
      <c r="E2706">
        <v>9</v>
      </c>
    </row>
    <row r="2707" spans="1:5" x14ac:dyDescent="0.2">
      <c r="A2707">
        <v>10035631</v>
      </c>
      <c r="B2707">
        <v>20385771</v>
      </c>
      <c r="C2707">
        <v>10</v>
      </c>
      <c r="D2707" s="1" t="s">
        <v>252</v>
      </c>
      <c r="E2707">
        <v>9</v>
      </c>
    </row>
    <row r="2708" spans="1:5" x14ac:dyDescent="0.2">
      <c r="A2708">
        <v>10035631</v>
      </c>
      <c r="B2708">
        <v>20385771</v>
      </c>
      <c r="C2708">
        <v>11</v>
      </c>
      <c r="D2708" s="1" t="s">
        <v>598</v>
      </c>
      <c r="E2708">
        <v>9</v>
      </c>
    </row>
    <row r="2709" spans="1:5" x14ac:dyDescent="0.2">
      <c r="A2709">
        <v>10035631</v>
      </c>
      <c r="B2709">
        <v>20385771</v>
      </c>
      <c r="C2709">
        <v>3</v>
      </c>
      <c r="D2709" s="1" t="s">
        <v>1284</v>
      </c>
      <c r="E2709">
        <v>9</v>
      </c>
    </row>
    <row r="2710" spans="1:5" x14ac:dyDescent="0.2">
      <c r="A2710">
        <v>10035631</v>
      </c>
      <c r="B2710">
        <v>20385771</v>
      </c>
      <c r="C2710">
        <v>6</v>
      </c>
      <c r="D2710" s="1" t="s">
        <v>264</v>
      </c>
      <c r="E2710">
        <v>9</v>
      </c>
    </row>
    <row r="2711" spans="1:5" x14ac:dyDescent="0.2">
      <c r="A2711">
        <v>10027445</v>
      </c>
      <c r="B2711">
        <v>26275841</v>
      </c>
      <c r="C2711">
        <v>1</v>
      </c>
      <c r="D2711" s="1" t="s">
        <v>516</v>
      </c>
      <c r="E2711">
        <v>9</v>
      </c>
    </row>
    <row r="2712" spans="1:5" x14ac:dyDescent="0.2">
      <c r="A2712">
        <v>10027445</v>
      </c>
      <c r="B2712">
        <v>26275841</v>
      </c>
      <c r="C2712">
        <v>9</v>
      </c>
      <c r="D2712" s="1" t="s">
        <v>1324</v>
      </c>
      <c r="E2712">
        <v>9</v>
      </c>
    </row>
    <row r="2713" spans="1:5" x14ac:dyDescent="0.2">
      <c r="A2713">
        <v>10027445</v>
      </c>
      <c r="B2713">
        <v>26275841</v>
      </c>
      <c r="C2713">
        <v>11</v>
      </c>
      <c r="D2713" s="1" t="s">
        <v>339</v>
      </c>
      <c r="E2713">
        <v>9</v>
      </c>
    </row>
    <row r="2714" spans="1:5" x14ac:dyDescent="0.2">
      <c r="A2714">
        <v>10027445</v>
      </c>
      <c r="B2714">
        <v>26275841</v>
      </c>
      <c r="C2714">
        <v>2</v>
      </c>
      <c r="D2714" s="1" t="s">
        <v>693</v>
      </c>
      <c r="E2714">
        <v>9</v>
      </c>
    </row>
    <row r="2715" spans="1:5" x14ac:dyDescent="0.2">
      <c r="A2715">
        <v>10027445</v>
      </c>
      <c r="B2715">
        <v>26275841</v>
      </c>
      <c r="C2715">
        <v>7</v>
      </c>
      <c r="D2715" s="1" t="s">
        <v>296</v>
      </c>
      <c r="E2715">
        <v>9</v>
      </c>
    </row>
    <row r="2716" spans="1:5" x14ac:dyDescent="0.2">
      <c r="A2716">
        <v>10027445</v>
      </c>
      <c r="B2716">
        <v>26275841</v>
      </c>
      <c r="C2716">
        <v>3</v>
      </c>
      <c r="D2716" s="1" t="s">
        <v>859</v>
      </c>
      <c r="E2716">
        <v>9</v>
      </c>
    </row>
    <row r="2717" spans="1:5" x14ac:dyDescent="0.2">
      <c r="A2717">
        <v>10027445</v>
      </c>
      <c r="B2717">
        <v>26275841</v>
      </c>
      <c r="C2717">
        <v>6</v>
      </c>
      <c r="D2717" s="1" t="s">
        <v>384</v>
      </c>
      <c r="E2717">
        <v>9</v>
      </c>
    </row>
    <row r="2718" spans="1:5" x14ac:dyDescent="0.2">
      <c r="A2718">
        <v>10027445</v>
      </c>
      <c r="B2718">
        <v>26275841</v>
      </c>
      <c r="C2718">
        <v>8</v>
      </c>
      <c r="D2718" s="1" t="s">
        <v>253</v>
      </c>
      <c r="E2718">
        <v>9</v>
      </c>
    </row>
    <row r="2719" spans="1:5" x14ac:dyDescent="0.2">
      <c r="A2719">
        <v>10027445</v>
      </c>
      <c r="B2719">
        <v>26275841</v>
      </c>
      <c r="C2719">
        <v>12</v>
      </c>
      <c r="D2719" s="1" t="s">
        <v>272</v>
      </c>
      <c r="E2719">
        <v>9</v>
      </c>
    </row>
    <row r="2720" spans="1:5" x14ac:dyDescent="0.2">
      <c r="A2720">
        <v>10027445</v>
      </c>
      <c r="B2720">
        <v>26275841</v>
      </c>
      <c r="C2720">
        <v>10</v>
      </c>
      <c r="D2720" s="1" t="s">
        <v>275</v>
      </c>
      <c r="E2720">
        <v>9</v>
      </c>
    </row>
    <row r="2721" spans="1:5" x14ac:dyDescent="0.2">
      <c r="A2721">
        <v>10027445</v>
      </c>
      <c r="B2721">
        <v>26275841</v>
      </c>
      <c r="C2721">
        <v>4</v>
      </c>
      <c r="D2721" s="1" t="s">
        <v>649</v>
      </c>
      <c r="E2721">
        <v>9</v>
      </c>
    </row>
    <row r="2722" spans="1:5" x14ac:dyDescent="0.2">
      <c r="A2722">
        <v>10027445</v>
      </c>
      <c r="B2722">
        <v>26275841</v>
      </c>
      <c r="C2722">
        <v>5</v>
      </c>
      <c r="D2722" s="1" t="s">
        <v>1325</v>
      </c>
      <c r="E2722">
        <v>9</v>
      </c>
    </row>
    <row r="2723" spans="1:5" x14ac:dyDescent="0.2">
      <c r="A2723">
        <v>10027445</v>
      </c>
      <c r="B2723">
        <v>29163082</v>
      </c>
      <c r="C2723">
        <v>1</v>
      </c>
      <c r="D2723" s="1" t="s">
        <v>275</v>
      </c>
      <c r="E2723">
        <v>9</v>
      </c>
    </row>
    <row r="2724" spans="1:5" x14ac:dyDescent="0.2">
      <c r="A2724">
        <v>10027445</v>
      </c>
      <c r="B2724">
        <v>29163082</v>
      </c>
      <c r="C2724">
        <v>11</v>
      </c>
      <c r="D2724" s="1" t="s">
        <v>406</v>
      </c>
      <c r="E2724">
        <v>9</v>
      </c>
    </row>
    <row r="2725" spans="1:5" x14ac:dyDescent="0.2">
      <c r="A2725">
        <v>10027445</v>
      </c>
      <c r="B2725">
        <v>29163082</v>
      </c>
      <c r="C2725">
        <v>4</v>
      </c>
      <c r="D2725" s="1" t="s">
        <v>859</v>
      </c>
      <c r="E2725">
        <v>9</v>
      </c>
    </row>
    <row r="2726" spans="1:5" x14ac:dyDescent="0.2">
      <c r="A2726">
        <v>10027445</v>
      </c>
      <c r="B2726">
        <v>29163082</v>
      </c>
      <c r="C2726">
        <v>10</v>
      </c>
      <c r="D2726" s="1" t="s">
        <v>260</v>
      </c>
      <c r="E2726">
        <v>9</v>
      </c>
    </row>
    <row r="2727" spans="1:5" x14ac:dyDescent="0.2">
      <c r="A2727">
        <v>10027445</v>
      </c>
      <c r="B2727">
        <v>29163082</v>
      </c>
      <c r="C2727">
        <v>3</v>
      </c>
      <c r="D2727" s="1" t="s">
        <v>502</v>
      </c>
      <c r="E2727">
        <v>9</v>
      </c>
    </row>
    <row r="2728" spans="1:5" x14ac:dyDescent="0.2">
      <c r="A2728">
        <v>10027445</v>
      </c>
      <c r="B2728">
        <v>29163082</v>
      </c>
      <c r="C2728">
        <v>5</v>
      </c>
      <c r="D2728" s="1" t="s">
        <v>649</v>
      </c>
      <c r="E2728">
        <v>9</v>
      </c>
    </row>
    <row r="2729" spans="1:5" x14ac:dyDescent="0.2">
      <c r="A2729">
        <v>10027445</v>
      </c>
      <c r="B2729">
        <v>29163082</v>
      </c>
      <c r="C2729">
        <v>8</v>
      </c>
      <c r="D2729" s="1" t="s">
        <v>802</v>
      </c>
      <c r="E2729">
        <v>9</v>
      </c>
    </row>
    <row r="2730" spans="1:5" x14ac:dyDescent="0.2">
      <c r="A2730">
        <v>10027445</v>
      </c>
      <c r="B2730">
        <v>29163082</v>
      </c>
      <c r="C2730">
        <v>9</v>
      </c>
      <c r="D2730" s="1" t="s">
        <v>1326</v>
      </c>
      <c r="E2730">
        <v>9</v>
      </c>
    </row>
    <row r="2731" spans="1:5" x14ac:dyDescent="0.2">
      <c r="A2731">
        <v>10027445</v>
      </c>
      <c r="B2731">
        <v>29163082</v>
      </c>
      <c r="C2731">
        <v>2</v>
      </c>
      <c r="D2731" s="1" t="s">
        <v>693</v>
      </c>
      <c r="E2731">
        <v>9</v>
      </c>
    </row>
    <row r="2732" spans="1:5" x14ac:dyDescent="0.2">
      <c r="A2732">
        <v>10027445</v>
      </c>
      <c r="B2732">
        <v>29163082</v>
      </c>
      <c r="C2732">
        <v>6</v>
      </c>
      <c r="D2732" s="1" t="s">
        <v>384</v>
      </c>
      <c r="E2732">
        <v>9</v>
      </c>
    </row>
    <row r="2733" spans="1:5" x14ac:dyDescent="0.2">
      <c r="A2733">
        <v>10027445</v>
      </c>
      <c r="B2733">
        <v>29163082</v>
      </c>
      <c r="C2733">
        <v>7</v>
      </c>
      <c r="D2733" s="1" t="s">
        <v>1325</v>
      </c>
      <c r="E2733">
        <v>9</v>
      </c>
    </row>
    <row r="2734" spans="1:5" x14ac:dyDescent="0.2">
      <c r="A2734">
        <v>10027445</v>
      </c>
      <c r="B2734">
        <v>27488741</v>
      </c>
      <c r="C2734">
        <v>7</v>
      </c>
      <c r="D2734" s="1" t="s">
        <v>288</v>
      </c>
      <c r="E2734">
        <v>9</v>
      </c>
    </row>
    <row r="2735" spans="1:5" x14ac:dyDescent="0.2">
      <c r="A2735">
        <v>10027445</v>
      </c>
      <c r="B2735">
        <v>27488741</v>
      </c>
      <c r="C2735">
        <v>13</v>
      </c>
      <c r="D2735" s="1" t="s">
        <v>405</v>
      </c>
      <c r="E2735">
        <v>9</v>
      </c>
    </row>
    <row r="2736" spans="1:5" x14ac:dyDescent="0.2">
      <c r="A2736">
        <v>10027445</v>
      </c>
      <c r="B2736">
        <v>27488741</v>
      </c>
      <c r="C2736">
        <v>22</v>
      </c>
      <c r="D2736" s="1" t="s">
        <v>261</v>
      </c>
      <c r="E2736">
        <v>9</v>
      </c>
    </row>
    <row r="2737" spans="1:5" x14ac:dyDescent="0.2">
      <c r="A2737">
        <v>10027445</v>
      </c>
      <c r="B2737">
        <v>27488741</v>
      </c>
      <c r="C2737">
        <v>18</v>
      </c>
      <c r="D2737" s="1" t="s">
        <v>1327</v>
      </c>
      <c r="E2737">
        <v>9</v>
      </c>
    </row>
    <row r="2738" spans="1:5" x14ac:dyDescent="0.2">
      <c r="A2738">
        <v>10027445</v>
      </c>
      <c r="B2738">
        <v>27488741</v>
      </c>
      <c r="C2738">
        <v>1</v>
      </c>
      <c r="D2738" s="1" t="s">
        <v>693</v>
      </c>
      <c r="E2738">
        <v>9</v>
      </c>
    </row>
    <row r="2739" spans="1:5" x14ac:dyDescent="0.2">
      <c r="A2739">
        <v>10027445</v>
      </c>
      <c r="B2739">
        <v>27488741</v>
      </c>
      <c r="C2739">
        <v>4</v>
      </c>
      <c r="D2739" s="1" t="s">
        <v>1328</v>
      </c>
      <c r="E2739">
        <v>9</v>
      </c>
    </row>
    <row r="2740" spans="1:5" x14ac:dyDescent="0.2">
      <c r="A2740">
        <v>10027445</v>
      </c>
      <c r="B2740">
        <v>27488741</v>
      </c>
      <c r="C2740">
        <v>5</v>
      </c>
      <c r="D2740" s="1" t="s">
        <v>802</v>
      </c>
      <c r="E2740">
        <v>9</v>
      </c>
    </row>
    <row r="2741" spans="1:5" x14ac:dyDescent="0.2">
      <c r="A2741">
        <v>10027445</v>
      </c>
      <c r="B2741">
        <v>27488741</v>
      </c>
      <c r="C2741">
        <v>8</v>
      </c>
      <c r="D2741" s="1" t="s">
        <v>1329</v>
      </c>
      <c r="E2741">
        <v>9</v>
      </c>
    </row>
    <row r="2742" spans="1:5" x14ac:dyDescent="0.2">
      <c r="A2742">
        <v>10027445</v>
      </c>
      <c r="B2742">
        <v>27488741</v>
      </c>
      <c r="C2742">
        <v>16</v>
      </c>
      <c r="D2742" s="1" t="s">
        <v>384</v>
      </c>
      <c r="E2742">
        <v>9</v>
      </c>
    </row>
    <row r="2743" spans="1:5" x14ac:dyDescent="0.2">
      <c r="A2743">
        <v>10027445</v>
      </c>
      <c r="B2743">
        <v>27488741</v>
      </c>
      <c r="C2743">
        <v>28</v>
      </c>
      <c r="D2743" s="1" t="s">
        <v>499</v>
      </c>
      <c r="E2743">
        <v>9</v>
      </c>
    </row>
    <row r="2744" spans="1:5" x14ac:dyDescent="0.2">
      <c r="A2744">
        <v>10027445</v>
      </c>
      <c r="B2744">
        <v>27488741</v>
      </c>
      <c r="C2744">
        <v>30</v>
      </c>
      <c r="D2744" s="1" t="s">
        <v>1229</v>
      </c>
      <c r="E2744">
        <v>9</v>
      </c>
    </row>
    <row r="2745" spans="1:5" x14ac:dyDescent="0.2">
      <c r="A2745">
        <v>10027445</v>
      </c>
      <c r="B2745">
        <v>27488741</v>
      </c>
      <c r="C2745">
        <v>25</v>
      </c>
      <c r="D2745" s="1" t="s">
        <v>580</v>
      </c>
      <c r="E2745">
        <v>9</v>
      </c>
    </row>
    <row r="2746" spans="1:5" x14ac:dyDescent="0.2">
      <c r="A2746">
        <v>10027445</v>
      </c>
      <c r="B2746">
        <v>27488741</v>
      </c>
      <c r="C2746">
        <v>31</v>
      </c>
      <c r="D2746" s="1" t="s">
        <v>260</v>
      </c>
      <c r="E2746">
        <v>9</v>
      </c>
    </row>
    <row r="2747" spans="1:5" x14ac:dyDescent="0.2">
      <c r="A2747">
        <v>10027445</v>
      </c>
      <c r="B2747">
        <v>27488741</v>
      </c>
      <c r="C2747">
        <v>15</v>
      </c>
      <c r="D2747" s="1" t="s">
        <v>1330</v>
      </c>
      <c r="E2747">
        <v>9</v>
      </c>
    </row>
    <row r="2748" spans="1:5" x14ac:dyDescent="0.2">
      <c r="A2748">
        <v>10027445</v>
      </c>
      <c r="B2748">
        <v>27488741</v>
      </c>
      <c r="C2748">
        <v>26</v>
      </c>
      <c r="D2748" s="1" t="s">
        <v>308</v>
      </c>
      <c r="E2748">
        <v>9</v>
      </c>
    </row>
    <row r="2749" spans="1:5" x14ac:dyDescent="0.2">
      <c r="A2749">
        <v>10027445</v>
      </c>
      <c r="B2749">
        <v>27488741</v>
      </c>
      <c r="C2749">
        <v>2</v>
      </c>
      <c r="D2749" s="1" t="s">
        <v>389</v>
      </c>
      <c r="E2749">
        <v>9</v>
      </c>
    </row>
    <row r="2750" spans="1:5" x14ac:dyDescent="0.2">
      <c r="A2750">
        <v>10027445</v>
      </c>
      <c r="B2750">
        <v>27488741</v>
      </c>
      <c r="C2750">
        <v>3</v>
      </c>
      <c r="D2750" s="1" t="s">
        <v>1331</v>
      </c>
      <c r="E2750">
        <v>9</v>
      </c>
    </row>
    <row r="2751" spans="1:5" x14ac:dyDescent="0.2">
      <c r="A2751">
        <v>10027445</v>
      </c>
      <c r="B2751">
        <v>27488741</v>
      </c>
      <c r="C2751">
        <v>27</v>
      </c>
      <c r="D2751" s="1" t="s">
        <v>406</v>
      </c>
      <c r="E2751">
        <v>9</v>
      </c>
    </row>
    <row r="2752" spans="1:5" x14ac:dyDescent="0.2">
      <c r="A2752">
        <v>10027445</v>
      </c>
      <c r="B2752">
        <v>27488741</v>
      </c>
      <c r="C2752">
        <v>20</v>
      </c>
      <c r="D2752" s="1" t="s">
        <v>353</v>
      </c>
      <c r="E2752">
        <v>9</v>
      </c>
    </row>
    <row r="2753" spans="1:5" x14ac:dyDescent="0.2">
      <c r="A2753">
        <v>10027445</v>
      </c>
      <c r="B2753">
        <v>27488741</v>
      </c>
      <c r="C2753">
        <v>12</v>
      </c>
      <c r="D2753" s="1" t="s">
        <v>711</v>
      </c>
      <c r="E2753">
        <v>9</v>
      </c>
    </row>
    <row r="2754" spans="1:5" x14ac:dyDescent="0.2">
      <c r="A2754">
        <v>10027445</v>
      </c>
      <c r="B2754">
        <v>27488741</v>
      </c>
      <c r="C2754">
        <v>19</v>
      </c>
      <c r="D2754" s="1" t="s">
        <v>1332</v>
      </c>
      <c r="E2754">
        <v>9</v>
      </c>
    </row>
    <row r="2755" spans="1:5" x14ac:dyDescent="0.2">
      <c r="A2755">
        <v>10027445</v>
      </c>
      <c r="B2755">
        <v>27488741</v>
      </c>
      <c r="C2755">
        <v>14</v>
      </c>
      <c r="D2755" s="1" t="s">
        <v>296</v>
      </c>
      <c r="E2755">
        <v>9</v>
      </c>
    </row>
    <row r="2756" spans="1:5" x14ac:dyDescent="0.2">
      <c r="A2756">
        <v>10027445</v>
      </c>
      <c r="B2756">
        <v>27488741</v>
      </c>
      <c r="C2756">
        <v>11</v>
      </c>
      <c r="D2756" s="1" t="s">
        <v>649</v>
      </c>
      <c r="E2756">
        <v>9</v>
      </c>
    </row>
    <row r="2757" spans="1:5" x14ac:dyDescent="0.2">
      <c r="A2757">
        <v>10027445</v>
      </c>
      <c r="B2757">
        <v>27488741</v>
      </c>
      <c r="C2757">
        <v>17</v>
      </c>
      <c r="D2757" s="1" t="s">
        <v>1333</v>
      </c>
      <c r="E2757">
        <v>9</v>
      </c>
    </row>
    <row r="2758" spans="1:5" x14ac:dyDescent="0.2">
      <c r="A2758">
        <v>10027445</v>
      </c>
      <c r="B2758">
        <v>27488741</v>
      </c>
      <c r="C2758">
        <v>9</v>
      </c>
      <c r="D2758" s="1" t="s">
        <v>253</v>
      </c>
      <c r="E2758">
        <v>9</v>
      </c>
    </row>
    <row r="2759" spans="1:5" x14ac:dyDescent="0.2">
      <c r="A2759">
        <v>10027445</v>
      </c>
      <c r="B2759">
        <v>27488741</v>
      </c>
      <c r="C2759">
        <v>10</v>
      </c>
      <c r="D2759" s="1" t="s">
        <v>1334</v>
      </c>
      <c r="E2759">
        <v>9</v>
      </c>
    </row>
    <row r="2760" spans="1:5" x14ac:dyDescent="0.2">
      <c r="A2760">
        <v>10027445</v>
      </c>
      <c r="B2760">
        <v>27488741</v>
      </c>
      <c r="C2760">
        <v>29</v>
      </c>
      <c r="D2760" s="1" t="s">
        <v>1254</v>
      </c>
      <c r="E2760">
        <v>9</v>
      </c>
    </row>
    <row r="2761" spans="1:5" x14ac:dyDescent="0.2">
      <c r="A2761">
        <v>10027445</v>
      </c>
      <c r="B2761">
        <v>27488741</v>
      </c>
      <c r="C2761">
        <v>6</v>
      </c>
      <c r="D2761" s="1" t="s">
        <v>1335</v>
      </c>
      <c r="E2761">
        <v>9</v>
      </c>
    </row>
    <row r="2762" spans="1:5" x14ac:dyDescent="0.2">
      <c r="A2762">
        <v>10027445</v>
      </c>
      <c r="B2762">
        <v>27488741</v>
      </c>
      <c r="C2762">
        <v>32</v>
      </c>
      <c r="D2762" s="1" t="s">
        <v>1336</v>
      </c>
      <c r="E2762">
        <v>9</v>
      </c>
    </row>
    <row r="2763" spans="1:5" x14ac:dyDescent="0.2">
      <c r="A2763">
        <v>10027445</v>
      </c>
      <c r="B2763">
        <v>27488741</v>
      </c>
      <c r="C2763">
        <v>21</v>
      </c>
      <c r="D2763" s="1" t="s">
        <v>264</v>
      </c>
      <c r="E2763">
        <v>9</v>
      </c>
    </row>
    <row r="2764" spans="1:5" x14ac:dyDescent="0.2">
      <c r="A2764">
        <v>10027445</v>
      </c>
      <c r="B2764">
        <v>27488741</v>
      </c>
      <c r="C2764">
        <v>23</v>
      </c>
      <c r="D2764" s="1" t="s">
        <v>512</v>
      </c>
      <c r="E2764">
        <v>9</v>
      </c>
    </row>
    <row r="2765" spans="1:5" x14ac:dyDescent="0.2">
      <c r="A2765">
        <v>10027445</v>
      </c>
      <c r="B2765">
        <v>27488741</v>
      </c>
      <c r="C2765">
        <v>24</v>
      </c>
      <c r="D2765" s="1" t="s">
        <v>293</v>
      </c>
      <c r="E2765">
        <v>9</v>
      </c>
    </row>
    <row r="2766" spans="1:5" x14ac:dyDescent="0.2">
      <c r="A2766">
        <v>10012853</v>
      </c>
      <c r="B2766">
        <v>20457729</v>
      </c>
      <c r="C2766">
        <v>10</v>
      </c>
      <c r="D2766" s="1" t="s">
        <v>558</v>
      </c>
      <c r="E2766">
        <v>10</v>
      </c>
    </row>
    <row r="2767" spans="1:5" x14ac:dyDescent="0.2">
      <c r="A2767">
        <v>10012853</v>
      </c>
      <c r="B2767">
        <v>20457729</v>
      </c>
      <c r="C2767">
        <v>12</v>
      </c>
      <c r="D2767" s="1" t="s">
        <v>1337</v>
      </c>
      <c r="E2767">
        <v>10</v>
      </c>
    </row>
    <row r="2768" spans="1:5" x14ac:dyDescent="0.2">
      <c r="A2768">
        <v>10012853</v>
      </c>
      <c r="B2768">
        <v>20457729</v>
      </c>
      <c r="C2768">
        <v>9</v>
      </c>
      <c r="D2768" s="1" t="s">
        <v>328</v>
      </c>
      <c r="E2768">
        <v>10</v>
      </c>
    </row>
    <row r="2769" spans="1:5" x14ac:dyDescent="0.2">
      <c r="A2769">
        <v>10012853</v>
      </c>
      <c r="B2769">
        <v>20457729</v>
      </c>
      <c r="C2769">
        <v>2</v>
      </c>
      <c r="D2769" s="1" t="s">
        <v>1338</v>
      </c>
      <c r="E2769">
        <v>10</v>
      </c>
    </row>
    <row r="2770" spans="1:5" x14ac:dyDescent="0.2">
      <c r="A2770">
        <v>10012853</v>
      </c>
      <c r="B2770">
        <v>20457729</v>
      </c>
      <c r="C2770">
        <v>16</v>
      </c>
      <c r="D2770" s="1" t="s">
        <v>1339</v>
      </c>
      <c r="E2770">
        <v>10</v>
      </c>
    </row>
    <row r="2771" spans="1:5" x14ac:dyDescent="0.2">
      <c r="A2771">
        <v>10012853</v>
      </c>
      <c r="B2771">
        <v>20457729</v>
      </c>
      <c r="C2771">
        <v>1</v>
      </c>
      <c r="D2771" s="1" t="s">
        <v>1340</v>
      </c>
      <c r="E2771">
        <v>10</v>
      </c>
    </row>
    <row r="2772" spans="1:5" x14ac:dyDescent="0.2">
      <c r="A2772">
        <v>10012853</v>
      </c>
      <c r="B2772">
        <v>20457729</v>
      </c>
      <c r="C2772">
        <v>6</v>
      </c>
      <c r="D2772" s="1" t="s">
        <v>443</v>
      </c>
      <c r="E2772">
        <v>10</v>
      </c>
    </row>
    <row r="2773" spans="1:5" x14ac:dyDescent="0.2">
      <c r="A2773">
        <v>10012853</v>
      </c>
      <c r="B2773">
        <v>20457729</v>
      </c>
      <c r="C2773">
        <v>14</v>
      </c>
      <c r="D2773" s="1" t="s">
        <v>1066</v>
      </c>
      <c r="E2773">
        <v>10</v>
      </c>
    </row>
    <row r="2774" spans="1:5" x14ac:dyDescent="0.2">
      <c r="A2774">
        <v>10012853</v>
      </c>
      <c r="B2774">
        <v>20457729</v>
      </c>
      <c r="C2774">
        <v>8</v>
      </c>
      <c r="D2774" s="1" t="s">
        <v>329</v>
      </c>
      <c r="E2774">
        <v>10</v>
      </c>
    </row>
    <row r="2775" spans="1:5" x14ac:dyDescent="0.2">
      <c r="A2775">
        <v>10012853</v>
      </c>
      <c r="B2775">
        <v>20457729</v>
      </c>
      <c r="C2775">
        <v>13</v>
      </c>
      <c r="D2775" s="1" t="s">
        <v>1037</v>
      </c>
      <c r="E2775">
        <v>10</v>
      </c>
    </row>
    <row r="2776" spans="1:5" x14ac:dyDescent="0.2">
      <c r="A2776">
        <v>10012853</v>
      </c>
      <c r="B2776">
        <v>20457729</v>
      </c>
      <c r="C2776">
        <v>4</v>
      </c>
      <c r="D2776" s="1" t="s">
        <v>380</v>
      </c>
      <c r="E2776">
        <v>10</v>
      </c>
    </row>
    <row r="2777" spans="1:5" x14ac:dyDescent="0.2">
      <c r="A2777">
        <v>10012853</v>
      </c>
      <c r="B2777">
        <v>20457729</v>
      </c>
      <c r="C2777">
        <v>7</v>
      </c>
      <c r="D2777" s="1" t="s">
        <v>379</v>
      </c>
      <c r="E2777">
        <v>10</v>
      </c>
    </row>
    <row r="2778" spans="1:5" x14ac:dyDescent="0.2">
      <c r="A2778">
        <v>10012853</v>
      </c>
      <c r="B2778">
        <v>20457729</v>
      </c>
      <c r="C2778">
        <v>3</v>
      </c>
      <c r="D2778" s="1" t="s">
        <v>761</v>
      </c>
      <c r="E2778">
        <v>10</v>
      </c>
    </row>
    <row r="2779" spans="1:5" x14ac:dyDescent="0.2">
      <c r="A2779">
        <v>10012853</v>
      </c>
      <c r="B2779">
        <v>20457729</v>
      </c>
      <c r="C2779">
        <v>11</v>
      </c>
      <c r="D2779" s="1" t="s">
        <v>574</v>
      </c>
      <c r="E2779">
        <v>10</v>
      </c>
    </row>
    <row r="2780" spans="1:5" x14ac:dyDescent="0.2">
      <c r="A2780">
        <v>10012853</v>
      </c>
      <c r="B2780">
        <v>20457729</v>
      </c>
      <c r="C2780">
        <v>5</v>
      </c>
      <c r="D2780" s="1" t="s">
        <v>890</v>
      </c>
      <c r="E2780">
        <v>10</v>
      </c>
    </row>
    <row r="2781" spans="1:5" x14ac:dyDescent="0.2">
      <c r="A2781">
        <v>10012853</v>
      </c>
      <c r="B2781">
        <v>20457729</v>
      </c>
      <c r="C2781">
        <v>15</v>
      </c>
      <c r="D2781" s="1" t="s">
        <v>752</v>
      </c>
      <c r="E2781">
        <v>10</v>
      </c>
    </row>
    <row r="2782" spans="1:5" x14ac:dyDescent="0.2">
      <c r="A2782">
        <v>10012853</v>
      </c>
      <c r="B2782">
        <v>22539296</v>
      </c>
      <c r="C2782">
        <v>12</v>
      </c>
      <c r="D2782" s="1" t="s">
        <v>713</v>
      </c>
      <c r="E2782">
        <v>9</v>
      </c>
    </row>
    <row r="2783" spans="1:5" x14ac:dyDescent="0.2">
      <c r="A2783">
        <v>10012853</v>
      </c>
      <c r="B2783">
        <v>22539296</v>
      </c>
      <c r="C2783">
        <v>18</v>
      </c>
      <c r="D2783" s="1" t="s">
        <v>1341</v>
      </c>
      <c r="E2783">
        <v>9</v>
      </c>
    </row>
    <row r="2784" spans="1:5" x14ac:dyDescent="0.2">
      <c r="A2784">
        <v>10012853</v>
      </c>
      <c r="B2784">
        <v>22539296</v>
      </c>
      <c r="C2784">
        <v>8</v>
      </c>
      <c r="D2784" s="1" t="s">
        <v>259</v>
      </c>
      <c r="E2784">
        <v>9</v>
      </c>
    </row>
    <row r="2785" spans="1:5" x14ac:dyDescent="0.2">
      <c r="A2785">
        <v>10012853</v>
      </c>
      <c r="B2785">
        <v>22539296</v>
      </c>
      <c r="C2785">
        <v>10</v>
      </c>
      <c r="D2785" s="1" t="s">
        <v>1342</v>
      </c>
      <c r="E2785">
        <v>9</v>
      </c>
    </row>
    <row r="2786" spans="1:5" x14ac:dyDescent="0.2">
      <c r="A2786">
        <v>10012853</v>
      </c>
      <c r="B2786">
        <v>22539296</v>
      </c>
      <c r="C2786">
        <v>16</v>
      </c>
      <c r="D2786" s="1" t="s">
        <v>1343</v>
      </c>
      <c r="E2786">
        <v>9</v>
      </c>
    </row>
    <row r="2787" spans="1:5" x14ac:dyDescent="0.2">
      <c r="A2787">
        <v>10012853</v>
      </c>
      <c r="B2787">
        <v>22539296</v>
      </c>
      <c r="C2787">
        <v>19</v>
      </c>
      <c r="D2787" s="1" t="s">
        <v>382</v>
      </c>
      <c r="E2787">
        <v>9</v>
      </c>
    </row>
    <row r="2788" spans="1:5" x14ac:dyDescent="0.2">
      <c r="A2788">
        <v>10012853</v>
      </c>
      <c r="B2788">
        <v>22539296</v>
      </c>
      <c r="C2788">
        <v>4</v>
      </c>
      <c r="D2788" s="1" t="s">
        <v>1344</v>
      </c>
      <c r="E2788">
        <v>9</v>
      </c>
    </row>
    <row r="2789" spans="1:5" x14ac:dyDescent="0.2">
      <c r="A2789">
        <v>10012853</v>
      </c>
      <c r="B2789">
        <v>22539296</v>
      </c>
      <c r="C2789">
        <v>5</v>
      </c>
      <c r="D2789" s="1" t="s">
        <v>1345</v>
      </c>
      <c r="E2789">
        <v>9</v>
      </c>
    </row>
    <row r="2790" spans="1:5" x14ac:dyDescent="0.2">
      <c r="A2790">
        <v>10012853</v>
      </c>
      <c r="B2790">
        <v>22539296</v>
      </c>
      <c r="C2790">
        <v>1</v>
      </c>
      <c r="D2790" s="1" t="s">
        <v>273</v>
      </c>
      <c r="E2790">
        <v>9</v>
      </c>
    </row>
    <row r="2791" spans="1:5" x14ac:dyDescent="0.2">
      <c r="A2791">
        <v>10012853</v>
      </c>
      <c r="B2791">
        <v>22539296</v>
      </c>
      <c r="C2791">
        <v>7</v>
      </c>
      <c r="D2791" s="1" t="s">
        <v>853</v>
      </c>
      <c r="E2791">
        <v>9</v>
      </c>
    </row>
    <row r="2792" spans="1:5" x14ac:dyDescent="0.2">
      <c r="A2792">
        <v>10012853</v>
      </c>
      <c r="B2792">
        <v>22539296</v>
      </c>
      <c r="C2792">
        <v>15</v>
      </c>
      <c r="D2792" s="1" t="s">
        <v>1346</v>
      </c>
      <c r="E2792">
        <v>9</v>
      </c>
    </row>
    <row r="2793" spans="1:5" x14ac:dyDescent="0.2">
      <c r="A2793">
        <v>10012853</v>
      </c>
      <c r="B2793">
        <v>22539296</v>
      </c>
      <c r="C2793">
        <v>14</v>
      </c>
      <c r="D2793" s="1" t="s">
        <v>405</v>
      </c>
      <c r="E2793">
        <v>9</v>
      </c>
    </row>
    <row r="2794" spans="1:5" x14ac:dyDescent="0.2">
      <c r="A2794">
        <v>10012853</v>
      </c>
      <c r="B2794">
        <v>22539296</v>
      </c>
      <c r="C2794">
        <v>20</v>
      </c>
      <c r="D2794" s="1" t="s">
        <v>810</v>
      </c>
      <c r="E2794">
        <v>9</v>
      </c>
    </row>
    <row r="2795" spans="1:5" x14ac:dyDescent="0.2">
      <c r="A2795">
        <v>10012853</v>
      </c>
      <c r="B2795">
        <v>22539296</v>
      </c>
      <c r="C2795">
        <v>3</v>
      </c>
      <c r="D2795" s="1" t="s">
        <v>384</v>
      </c>
      <c r="E2795">
        <v>9</v>
      </c>
    </row>
    <row r="2796" spans="1:5" x14ac:dyDescent="0.2">
      <c r="A2796">
        <v>10012853</v>
      </c>
      <c r="B2796">
        <v>22539296</v>
      </c>
      <c r="C2796">
        <v>13</v>
      </c>
      <c r="D2796" s="1" t="s">
        <v>1245</v>
      </c>
      <c r="E2796">
        <v>9</v>
      </c>
    </row>
    <row r="2797" spans="1:5" x14ac:dyDescent="0.2">
      <c r="A2797">
        <v>10012853</v>
      </c>
      <c r="B2797">
        <v>22539296</v>
      </c>
      <c r="C2797">
        <v>11</v>
      </c>
      <c r="D2797" s="1" t="s">
        <v>416</v>
      </c>
      <c r="E2797">
        <v>9</v>
      </c>
    </row>
    <row r="2798" spans="1:5" x14ac:dyDescent="0.2">
      <c r="A2798">
        <v>10012853</v>
      </c>
      <c r="B2798">
        <v>22539296</v>
      </c>
      <c r="C2798">
        <v>2</v>
      </c>
      <c r="D2798" s="1" t="s">
        <v>320</v>
      </c>
      <c r="E2798">
        <v>9</v>
      </c>
    </row>
    <row r="2799" spans="1:5" x14ac:dyDescent="0.2">
      <c r="A2799">
        <v>10012853</v>
      </c>
      <c r="B2799">
        <v>22539296</v>
      </c>
      <c r="C2799">
        <v>9</v>
      </c>
      <c r="D2799" s="1" t="s">
        <v>261</v>
      </c>
      <c r="E2799">
        <v>9</v>
      </c>
    </row>
    <row r="2800" spans="1:5" x14ac:dyDescent="0.2">
      <c r="A2800">
        <v>10012853</v>
      </c>
      <c r="B2800">
        <v>22539296</v>
      </c>
      <c r="C2800">
        <v>17</v>
      </c>
      <c r="D2800" s="1" t="s">
        <v>308</v>
      </c>
      <c r="E2800">
        <v>9</v>
      </c>
    </row>
    <row r="2801" spans="1:5" x14ac:dyDescent="0.2">
      <c r="A2801">
        <v>10012853</v>
      </c>
      <c r="B2801">
        <v>22539296</v>
      </c>
      <c r="C2801">
        <v>6</v>
      </c>
      <c r="D2801" s="1" t="s">
        <v>464</v>
      </c>
      <c r="E2801">
        <v>9</v>
      </c>
    </row>
    <row r="2802" spans="1:5" x14ac:dyDescent="0.2">
      <c r="A2802">
        <v>10012853</v>
      </c>
      <c r="B2802">
        <v>22539296</v>
      </c>
      <c r="C2802">
        <v>21</v>
      </c>
      <c r="D2802" s="1" t="s">
        <v>418</v>
      </c>
      <c r="E2802">
        <v>9</v>
      </c>
    </row>
    <row r="2803" spans="1:5" x14ac:dyDescent="0.2">
      <c r="A2803">
        <v>10012853</v>
      </c>
      <c r="B2803">
        <v>22539296</v>
      </c>
      <c r="C2803">
        <v>22</v>
      </c>
      <c r="D2803" s="1" t="s">
        <v>544</v>
      </c>
      <c r="E2803">
        <v>9</v>
      </c>
    </row>
    <row r="2804" spans="1:5" x14ac:dyDescent="0.2">
      <c r="A2804">
        <v>10012853</v>
      </c>
      <c r="B2804">
        <v>22896692</v>
      </c>
      <c r="C2804">
        <v>1</v>
      </c>
      <c r="D2804" s="1" t="s">
        <v>1147</v>
      </c>
      <c r="E2804">
        <v>10</v>
      </c>
    </row>
    <row r="2805" spans="1:5" x14ac:dyDescent="0.2">
      <c r="A2805">
        <v>10012853</v>
      </c>
      <c r="B2805">
        <v>22896692</v>
      </c>
      <c r="C2805">
        <v>7</v>
      </c>
      <c r="D2805" s="1" t="s">
        <v>737</v>
      </c>
      <c r="E2805">
        <v>10</v>
      </c>
    </row>
    <row r="2806" spans="1:5" x14ac:dyDescent="0.2">
      <c r="A2806">
        <v>10012853</v>
      </c>
      <c r="B2806">
        <v>22896692</v>
      </c>
      <c r="C2806">
        <v>10</v>
      </c>
      <c r="D2806" s="1" t="s">
        <v>1066</v>
      </c>
      <c r="E2806">
        <v>10</v>
      </c>
    </row>
    <row r="2807" spans="1:5" x14ac:dyDescent="0.2">
      <c r="A2807">
        <v>10012853</v>
      </c>
      <c r="B2807">
        <v>22896692</v>
      </c>
      <c r="C2807">
        <v>8</v>
      </c>
      <c r="D2807" s="1" t="s">
        <v>329</v>
      </c>
      <c r="E2807">
        <v>10</v>
      </c>
    </row>
    <row r="2808" spans="1:5" x14ac:dyDescent="0.2">
      <c r="A2808">
        <v>10012853</v>
      </c>
      <c r="B2808">
        <v>22896692</v>
      </c>
      <c r="C2808">
        <v>3</v>
      </c>
      <c r="D2808" s="1" t="s">
        <v>324</v>
      </c>
      <c r="E2808">
        <v>10</v>
      </c>
    </row>
    <row r="2809" spans="1:5" x14ac:dyDescent="0.2">
      <c r="A2809">
        <v>10012853</v>
      </c>
      <c r="B2809">
        <v>22896692</v>
      </c>
      <c r="C2809">
        <v>5</v>
      </c>
      <c r="D2809" s="1" t="s">
        <v>1338</v>
      </c>
      <c r="E2809">
        <v>10</v>
      </c>
    </row>
    <row r="2810" spans="1:5" x14ac:dyDescent="0.2">
      <c r="A2810">
        <v>10012853</v>
      </c>
      <c r="B2810">
        <v>22896692</v>
      </c>
      <c r="C2810">
        <v>2</v>
      </c>
      <c r="D2810" s="1" t="s">
        <v>617</v>
      </c>
      <c r="E2810">
        <v>10</v>
      </c>
    </row>
    <row r="2811" spans="1:5" x14ac:dyDescent="0.2">
      <c r="A2811">
        <v>10012853</v>
      </c>
      <c r="B2811">
        <v>22896692</v>
      </c>
      <c r="C2811">
        <v>4</v>
      </c>
      <c r="D2811" s="1" t="s">
        <v>446</v>
      </c>
      <c r="E2811">
        <v>10</v>
      </c>
    </row>
    <row r="2812" spans="1:5" x14ac:dyDescent="0.2">
      <c r="A2812">
        <v>10012853</v>
      </c>
      <c r="B2812">
        <v>22896692</v>
      </c>
      <c r="C2812">
        <v>9</v>
      </c>
      <c r="D2812" s="1" t="s">
        <v>1339</v>
      </c>
      <c r="E2812">
        <v>10</v>
      </c>
    </row>
    <row r="2813" spans="1:5" x14ac:dyDescent="0.2">
      <c r="A2813">
        <v>10012853</v>
      </c>
      <c r="B2813">
        <v>22896692</v>
      </c>
      <c r="C2813">
        <v>11</v>
      </c>
      <c r="D2813" s="1" t="s">
        <v>574</v>
      </c>
      <c r="E2813">
        <v>10</v>
      </c>
    </row>
    <row r="2814" spans="1:5" x14ac:dyDescent="0.2">
      <c r="A2814">
        <v>10012853</v>
      </c>
      <c r="B2814">
        <v>22896692</v>
      </c>
      <c r="C2814">
        <v>6</v>
      </c>
      <c r="D2814" s="1" t="s">
        <v>621</v>
      </c>
      <c r="E2814">
        <v>10</v>
      </c>
    </row>
    <row r="2815" spans="1:5" x14ac:dyDescent="0.2">
      <c r="A2815">
        <v>10012853</v>
      </c>
      <c r="B2815">
        <v>27882036</v>
      </c>
      <c r="C2815">
        <v>17</v>
      </c>
      <c r="D2815" s="1" t="s">
        <v>1347</v>
      </c>
      <c r="E2815">
        <v>10</v>
      </c>
    </row>
    <row r="2816" spans="1:5" x14ac:dyDescent="0.2">
      <c r="A2816">
        <v>10012853</v>
      </c>
      <c r="B2816">
        <v>27882036</v>
      </c>
      <c r="C2816">
        <v>25</v>
      </c>
      <c r="D2816" s="1" t="s">
        <v>1102</v>
      </c>
      <c r="E2816">
        <v>10</v>
      </c>
    </row>
    <row r="2817" spans="1:5" x14ac:dyDescent="0.2">
      <c r="A2817">
        <v>10012853</v>
      </c>
      <c r="B2817">
        <v>27882036</v>
      </c>
      <c r="C2817">
        <v>1</v>
      </c>
      <c r="D2817" s="1" t="s">
        <v>1348</v>
      </c>
      <c r="E2817">
        <v>10</v>
      </c>
    </row>
    <row r="2818" spans="1:5" x14ac:dyDescent="0.2">
      <c r="A2818">
        <v>10012853</v>
      </c>
      <c r="B2818">
        <v>27882036</v>
      </c>
      <c r="C2818">
        <v>27</v>
      </c>
      <c r="D2818" s="1" t="s">
        <v>452</v>
      </c>
      <c r="E2818">
        <v>10</v>
      </c>
    </row>
    <row r="2819" spans="1:5" x14ac:dyDescent="0.2">
      <c r="A2819">
        <v>10012853</v>
      </c>
      <c r="B2819">
        <v>27882036</v>
      </c>
      <c r="C2819">
        <v>6</v>
      </c>
      <c r="D2819" s="1" t="s">
        <v>451</v>
      </c>
      <c r="E2819">
        <v>10</v>
      </c>
    </row>
    <row r="2820" spans="1:5" x14ac:dyDescent="0.2">
      <c r="A2820">
        <v>10012853</v>
      </c>
      <c r="B2820">
        <v>27882036</v>
      </c>
      <c r="C2820">
        <v>7</v>
      </c>
      <c r="D2820" s="1" t="s">
        <v>1349</v>
      </c>
      <c r="E2820">
        <v>10</v>
      </c>
    </row>
    <row r="2821" spans="1:5" x14ac:dyDescent="0.2">
      <c r="A2821">
        <v>10012853</v>
      </c>
      <c r="B2821">
        <v>27882036</v>
      </c>
      <c r="C2821">
        <v>18</v>
      </c>
      <c r="D2821" s="1" t="s">
        <v>1350</v>
      </c>
      <c r="E2821">
        <v>10</v>
      </c>
    </row>
    <row r="2822" spans="1:5" x14ac:dyDescent="0.2">
      <c r="A2822">
        <v>10012853</v>
      </c>
      <c r="B2822">
        <v>27882036</v>
      </c>
      <c r="C2822">
        <v>23</v>
      </c>
      <c r="D2822" s="1" t="s">
        <v>1351</v>
      </c>
      <c r="E2822">
        <v>10</v>
      </c>
    </row>
    <row r="2823" spans="1:5" x14ac:dyDescent="0.2">
      <c r="A2823">
        <v>10012853</v>
      </c>
      <c r="B2823">
        <v>27882036</v>
      </c>
      <c r="C2823">
        <v>15</v>
      </c>
      <c r="D2823" s="1" t="s">
        <v>872</v>
      </c>
      <c r="E2823">
        <v>10</v>
      </c>
    </row>
    <row r="2824" spans="1:5" x14ac:dyDescent="0.2">
      <c r="A2824">
        <v>10012853</v>
      </c>
      <c r="B2824">
        <v>27882036</v>
      </c>
      <c r="C2824">
        <v>10</v>
      </c>
      <c r="D2824" s="1" t="s">
        <v>1337</v>
      </c>
      <c r="E2824">
        <v>10</v>
      </c>
    </row>
    <row r="2825" spans="1:5" x14ac:dyDescent="0.2">
      <c r="A2825">
        <v>10012853</v>
      </c>
      <c r="B2825">
        <v>27882036</v>
      </c>
      <c r="C2825">
        <v>24</v>
      </c>
      <c r="D2825" s="1" t="s">
        <v>435</v>
      </c>
      <c r="E2825">
        <v>10</v>
      </c>
    </row>
    <row r="2826" spans="1:5" x14ac:dyDescent="0.2">
      <c r="A2826">
        <v>10012853</v>
      </c>
      <c r="B2826">
        <v>27882036</v>
      </c>
      <c r="C2826">
        <v>26</v>
      </c>
      <c r="D2826" s="1" t="s">
        <v>335</v>
      </c>
      <c r="E2826">
        <v>10</v>
      </c>
    </row>
    <row r="2827" spans="1:5" x14ac:dyDescent="0.2">
      <c r="A2827">
        <v>10012853</v>
      </c>
      <c r="B2827">
        <v>27882036</v>
      </c>
      <c r="C2827">
        <v>3</v>
      </c>
      <c r="D2827" s="1" t="s">
        <v>761</v>
      </c>
      <c r="E2827">
        <v>10</v>
      </c>
    </row>
    <row r="2828" spans="1:5" x14ac:dyDescent="0.2">
      <c r="A2828">
        <v>10012853</v>
      </c>
      <c r="B2828">
        <v>27882036</v>
      </c>
      <c r="C2828">
        <v>22</v>
      </c>
      <c r="D2828" s="1" t="s">
        <v>1352</v>
      </c>
      <c r="E2828">
        <v>10</v>
      </c>
    </row>
    <row r="2829" spans="1:5" x14ac:dyDescent="0.2">
      <c r="A2829">
        <v>10012853</v>
      </c>
      <c r="B2829">
        <v>27882036</v>
      </c>
      <c r="C2829">
        <v>19</v>
      </c>
      <c r="D2829" s="1" t="s">
        <v>378</v>
      </c>
      <c r="E2829">
        <v>10</v>
      </c>
    </row>
    <row r="2830" spans="1:5" x14ac:dyDescent="0.2">
      <c r="A2830">
        <v>10012853</v>
      </c>
      <c r="B2830">
        <v>27882036</v>
      </c>
      <c r="C2830">
        <v>29</v>
      </c>
      <c r="D2830" s="1" t="s">
        <v>446</v>
      </c>
      <c r="E2830">
        <v>10</v>
      </c>
    </row>
    <row r="2831" spans="1:5" x14ac:dyDescent="0.2">
      <c r="A2831">
        <v>10012853</v>
      </c>
      <c r="B2831">
        <v>27882036</v>
      </c>
      <c r="C2831">
        <v>20</v>
      </c>
      <c r="D2831" s="1" t="s">
        <v>1079</v>
      </c>
      <c r="E2831">
        <v>10</v>
      </c>
    </row>
    <row r="2832" spans="1:5" x14ac:dyDescent="0.2">
      <c r="A2832">
        <v>10012853</v>
      </c>
      <c r="B2832">
        <v>27882036</v>
      </c>
      <c r="C2832">
        <v>30</v>
      </c>
      <c r="D2832" s="1" t="s">
        <v>1066</v>
      </c>
      <c r="E2832">
        <v>10</v>
      </c>
    </row>
    <row r="2833" spans="1:5" x14ac:dyDescent="0.2">
      <c r="A2833">
        <v>10012853</v>
      </c>
      <c r="B2833">
        <v>27882036</v>
      </c>
      <c r="C2833">
        <v>12</v>
      </c>
      <c r="D2833" s="1" t="s">
        <v>328</v>
      </c>
      <c r="E2833">
        <v>10</v>
      </c>
    </row>
    <row r="2834" spans="1:5" x14ac:dyDescent="0.2">
      <c r="A2834">
        <v>10012853</v>
      </c>
      <c r="B2834">
        <v>27882036</v>
      </c>
      <c r="C2834">
        <v>11</v>
      </c>
      <c r="D2834" s="1" t="s">
        <v>1353</v>
      </c>
      <c r="E2834">
        <v>10</v>
      </c>
    </row>
    <row r="2835" spans="1:5" x14ac:dyDescent="0.2">
      <c r="A2835">
        <v>10012853</v>
      </c>
      <c r="B2835">
        <v>27882036</v>
      </c>
      <c r="C2835">
        <v>16</v>
      </c>
      <c r="D2835" s="1" t="s">
        <v>1354</v>
      </c>
      <c r="E2835">
        <v>10</v>
      </c>
    </row>
    <row r="2836" spans="1:5" x14ac:dyDescent="0.2">
      <c r="A2836">
        <v>10012853</v>
      </c>
      <c r="B2836">
        <v>27882036</v>
      </c>
      <c r="C2836">
        <v>2</v>
      </c>
      <c r="D2836" s="1" t="s">
        <v>741</v>
      </c>
      <c r="E2836">
        <v>10</v>
      </c>
    </row>
    <row r="2837" spans="1:5" x14ac:dyDescent="0.2">
      <c r="A2837">
        <v>10012853</v>
      </c>
      <c r="B2837">
        <v>27882036</v>
      </c>
      <c r="C2837">
        <v>14</v>
      </c>
      <c r="D2837" s="1" t="s">
        <v>1355</v>
      </c>
      <c r="E2837">
        <v>10</v>
      </c>
    </row>
    <row r="2838" spans="1:5" x14ac:dyDescent="0.2">
      <c r="A2838">
        <v>10012853</v>
      </c>
      <c r="B2838">
        <v>27882036</v>
      </c>
      <c r="C2838">
        <v>21</v>
      </c>
      <c r="D2838" s="1" t="s">
        <v>574</v>
      </c>
      <c r="E2838">
        <v>10</v>
      </c>
    </row>
    <row r="2839" spans="1:5" x14ac:dyDescent="0.2">
      <c r="A2839">
        <v>10012853</v>
      </c>
      <c r="B2839">
        <v>27882036</v>
      </c>
      <c r="C2839">
        <v>5</v>
      </c>
      <c r="D2839" s="1" t="s">
        <v>558</v>
      </c>
      <c r="E2839">
        <v>10</v>
      </c>
    </row>
    <row r="2840" spans="1:5" x14ac:dyDescent="0.2">
      <c r="A2840">
        <v>10012853</v>
      </c>
      <c r="B2840">
        <v>27882036</v>
      </c>
      <c r="C2840">
        <v>4</v>
      </c>
      <c r="D2840" s="1" t="s">
        <v>1338</v>
      </c>
      <c r="E2840">
        <v>10</v>
      </c>
    </row>
    <row r="2841" spans="1:5" x14ac:dyDescent="0.2">
      <c r="A2841">
        <v>10012853</v>
      </c>
      <c r="B2841">
        <v>27882036</v>
      </c>
      <c r="C2841">
        <v>8</v>
      </c>
      <c r="D2841" s="1" t="s">
        <v>621</v>
      </c>
      <c r="E2841">
        <v>10</v>
      </c>
    </row>
    <row r="2842" spans="1:5" x14ac:dyDescent="0.2">
      <c r="A2842">
        <v>10012853</v>
      </c>
      <c r="B2842">
        <v>27882036</v>
      </c>
      <c r="C2842">
        <v>28</v>
      </c>
      <c r="D2842" s="1" t="s">
        <v>1339</v>
      </c>
      <c r="E2842">
        <v>10</v>
      </c>
    </row>
    <row r="2843" spans="1:5" x14ac:dyDescent="0.2">
      <c r="A2843">
        <v>10012853</v>
      </c>
      <c r="B2843">
        <v>27882036</v>
      </c>
      <c r="C2843">
        <v>13</v>
      </c>
      <c r="D2843" s="1" t="s">
        <v>987</v>
      </c>
      <c r="E2843">
        <v>10</v>
      </c>
    </row>
    <row r="2844" spans="1:5" x14ac:dyDescent="0.2">
      <c r="A2844">
        <v>10012853</v>
      </c>
      <c r="B2844">
        <v>27882036</v>
      </c>
      <c r="C2844">
        <v>9</v>
      </c>
      <c r="D2844" s="1" t="s">
        <v>630</v>
      </c>
      <c r="E2844">
        <v>10</v>
      </c>
    </row>
    <row r="2845" spans="1:5" x14ac:dyDescent="0.2">
      <c r="A2845">
        <v>10012853</v>
      </c>
      <c r="B2845">
        <v>26369609</v>
      </c>
      <c r="C2845">
        <v>4</v>
      </c>
      <c r="D2845" s="1" t="s">
        <v>649</v>
      </c>
      <c r="E2845">
        <v>9</v>
      </c>
    </row>
    <row r="2846" spans="1:5" x14ac:dyDescent="0.2">
      <c r="A2846">
        <v>10012853</v>
      </c>
      <c r="B2846">
        <v>26369609</v>
      </c>
      <c r="C2846">
        <v>9</v>
      </c>
      <c r="D2846" s="1" t="s">
        <v>320</v>
      </c>
      <c r="E2846">
        <v>9</v>
      </c>
    </row>
    <row r="2847" spans="1:5" x14ac:dyDescent="0.2">
      <c r="A2847">
        <v>10012853</v>
      </c>
      <c r="B2847">
        <v>26369609</v>
      </c>
      <c r="C2847">
        <v>2</v>
      </c>
      <c r="D2847" s="1" t="s">
        <v>409</v>
      </c>
      <c r="E2847">
        <v>9</v>
      </c>
    </row>
    <row r="2848" spans="1:5" x14ac:dyDescent="0.2">
      <c r="A2848">
        <v>10012853</v>
      </c>
      <c r="B2848">
        <v>26369609</v>
      </c>
      <c r="C2848">
        <v>1</v>
      </c>
      <c r="D2848" s="1" t="s">
        <v>1356</v>
      </c>
      <c r="E2848">
        <v>9</v>
      </c>
    </row>
    <row r="2849" spans="1:5" x14ac:dyDescent="0.2">
      <c r="A2849">
        <v>10012853</v>
      </c>
      <c r="B2849">
        <v>26369609</v>
      </c>
      <c r="C2849">
        <v>8</v>
      </c>
      <c r="D2849" s="1" t="s">
        <v>384</v>
      </c>
      <c r="E2849">
        <v>9</v>
      </c>
    </row>
    <row r="2850" spans="1:5" x14ac:dyDescent="0.2">
      <c r="A2850">
        <v>10012853</v>
      </c>
      <c r="B2850">
        <v>26369609</v>
      </c>
      <c r="C2850">
        <v>10</v>
      </c>
      <c r="D2850" s="1" t="s">
        <v>1357</v>
      </c>
      <c r="E2850">
        <v>9</v>
      </c>
    </row>
    <row r="2851" spans="1:5" x14ac:dyDescent="0.2">
      <c r="A2851">
        <v>10012853</v>
      </c>
      <c r="B2851">
        <v>26369609</v>
      </c>
      <c r="C2851">
        <v>16</v>
      </c>
      <c r="D2851" s="1" t="s">
        <v>405</v>
      </c>
      <c r="E2851">
        <v>9</v>
      </c>
    </row>
    <row r="2852" spans="1:5" x14ac:dyDescent="0.2">
      <c r="A2852">
        <v>10012853</v>
      </c>
      <c r="B2852">
        <v>26369609</v>
      </c>
      <c r="C2852">
        <v>7</v>
      </c>
      <c r="D2852" s="1" t="s">
        <v>713</v>
      </c>
      <c r="E2852">
        <v>9</v>
      </c>
    </row>
    <row r="2853" spans="1:5" x14ac:dyDescent="0.2">
      <c r="A2853">
        <v>10012853</v>
      </c>
      <c r="B2853">
        <v>26369609</v>
      </c>
      <c r="C2853">
        <v>12</v>
      </c>
      <c r="D2853" s="1" t="s">
        <v>259</v>
      </c>
      <c r="E2853">
        <v>9</v>
      </c>
    </row>
    <row r="2854" spans="1:5" x14ac:dyDescent="0.2">
      <c r="A2854">
        <v>10012853</v>
      </c>
      <c r="B2854">
        <v>26369609</v>
      </c>
      <c r="C2854">
        <v>15</v>
      </c>
      <c r="D2854" s="1" t="s">
        <v>418</v>
      </c>
      <c r="E2854">
        <v>9</v>
      </c>
    </row>
    <row r="2855" spans="1:5" x14ac:dyDescent="0.2">
      <c r="A2855">
        <v>10012853</v>
      </c>
      <c r="B2855">
        <v>26369609</v>
      </c>
      <c r="C2855">
        <v>11</v>
      </c>
      <c r="D2855" s="1" t="s">
        <v>1345</v>
      </c>
      <c r="E2855">
        <v>9</v>
      </c>
    </row>
    <row r="2856" spans="1:5" x14ac:dyDescent="0.2">
      <c r="A2856">
        <v>10012853</v>
      </c>
      <c r="B2856">
        <v>26369609</v>
      </c>
      <c r="C2856">
        <v>6</v>
      </c>
      <c r="D2856" s="1" t="s">
        <v>771</v>
      </c>
      <c r="E2856">
        <v>9</v>
      </c>
    </row>
    <row r="2857" spans="1:5" x14ac:dyDescent="0.2">
      <c r="A2857">
        <v>10012853</v>
      </c>
      <c r="B2857">
        <v>26369609</v>
      </c>
      <c r="C2857">
        <v>3</v>
      </c>
      <c r="D2857" s="1" t="s">
        <v>852</v>
      </c>
      <c r="E2857">
        <v>9</v>
      </c>
    </row>
    <row r="2858" spans="1:5" x14ac:dyDescent="0.2">
      <c r="A2858">
        <v>10012853</v>
      </c>
      <c r="B2858">
        <v>26369609</v>
      </c>
      <c r="C2858">
        <v>14</v>
      </c>
      <c r="D2858" s="1" t="s">
        <v>416</v>
      </c>
      <c r="E2858">
        <v>9</v>
      </c>
    </row>
    <row r="2859" spans="1:5" x14ac:dyDescent="0.2">
      <c r="A2859">
        <v>10012853</v>
      </c>
      <c r="B2859">
        <v>26369609</v>
      </c>
      <c r="C2859">
        <v>5</v>
      </c>
      <c r="D2859" s="1" t="s">
        <v>1358</v>
      </c>
      <c r="E2859">
        <v>9</v>
      </c>
    </row>
    <row r="2860" spans="1:5" x14ac:dyDescent="0.2">
      <c r="A2860">
        <v>10012853</v>
      </c>
      <c r="B2860">
        <v>26369609</v>
      </c>
      <c r="C2860">
        <v>13</v>
      </c>
      <c r="D2860" s="1" t="s">
        <v>1359</v>
      </c>
      <c r="E2860">
        <v>9</v>
      </c>
    </row>
    <row r="2861" spans="1:5" x14ac:dyDescent="0.2">
      <c r="A2861">
        <v>10012853</v>
      </c>
      <c r="B2861">
        <v>26739864</v>
      </c>
      <c r="C2861">
        <v>4</v>
      </c>
      <c r="D2861" s="1" t="s">
        <v>443</v>
      </c>
      <c r="E2861">
        <v>10</v>
      </c>
    </row>
    <row r="2862" spans="1:5" x14ac:dyDescent="0.2">
      <c r="A2862">
        <v>10012853</v>
      </c>
      <c r="B2862">
        <v>26739864</v>
      </c>
      <c r="C2862">
        <v>3</v>
      </c>
      <c r="D2862" s="1" t="s">
        <v>379</v>
      </c>
      <c r="E2862">
        <v>10</v>
      </c>
    </row>
    <row r="2863" spans="1:5" x14ac:dyDescent="0.2">
      <c r="A2863">
        <v>10012853</v>
      </c>
      <c r="B2863">
        <v>26739864</v>
      </c>
      <c r="C2863">
        <v>12</v>
      </c>
      <c r="D2863" s="1" t="s">
        <v>574</v>
      </c>
      <c r="E2863">
        <v>10</v>
      </c>
    </row>
    <row r="2864" spans="1:5" x14ac:dyDescent="0.2">
      <c r="A2864">
        <v>10012853</v>
      </c>
      <c r="B2864">
        <v>26739864</v>
      </c>
      <c r="C2864">
        <v>5</v>
      </c>
      <c r="D2864" s="1" t="s">
        <v>329</v>
      </c>
      <c r="E2864">
        <v>10</v>
      </c>
    </row>
    <row r="2865" spans="1:5" x14ac:dyDescent="0.2">
      <c r="A2865">
        <v>10012853</v>
      </c>
      <c r="B2865">
        <v>26739864</v>
      </c>
      <c r="C2865">
        <v>9</v>
      </c>
      <c r="D2865" s="1" t="s">
        <v>446</v>
      </c>
      <c r="E2865">
        <v>10</v>
      </c>
    </row>
    <row r="2866" spans="1:5" x14ac:dyDescent="0.2">
      <c r="A2866">
        <v>10012853</v>
      </c>
      <c r="B2866">
        <v>26739864</v>
      </c>
      <c r="C2866">
        <v>6</v>
      </c>
      <c r="D2866" s="1" t="s">
        <v>328</v>
      </c>
      <c r="E2866">
        <v>10</v>
      </c>
    </row>
    <row r="2867" spans="1:5" x14ac:dyDescent="0.2">
      <c r="A2867">
        <v>10012853</v>
      </c>
      <c r="B2867">
        <v>26739864</v>
      </c>
      <c r="C2867">
        <v>8</v>
      </c>
      <c r="D2867" s="1" t="s">
        <v>761</v>
      </c>
      <c r="E2867">
        <v>10</v>
      </c>
    </row>
    <row r="2868" spans="1:5" x14ac:dyDescent="0.2">
      <c r="A2868">
        <v>10012853</v>
      </c>
      <c r="B2868">
        <v>26739864</v>
      </c>
      <c r="C2868">
        <v>14</v>
      </c>
      <c r="D2868" s="1" t="s">
        <v>752</v>
      </c>
      <c r="E2868">
        <v>10</v>
      </c>
    </row>
    <row r="2869" spans="1:5" x14ac:dyDescent="0.2">
      <c r="A2869">
        <v>10012853</v>
      </c>
      <c r="B2869">
        <v>26739864</v>
      </c>
      <c r="C2869">
        <v>10</v>
      </c>
      <c r="D2869" s="1" t="s">
        <v>1339</v>
      </c>
      <c r="E2869">
        <v>10</v>
      </c>
    </row>
    <row r="2870" spans="1:5" x14ac:dyDescent="0.2">
      <c r="A2870">
        <v>10012853</v>
      </c>
      <c r="B2870">
        <v>26739864</v>
      </c>
      <c r="C2870">
        <v>13</v>
      </c>
      <c r="D2870" s="1" t="s">
        <v>1066</v>
      </c>
      <c r="E2870">
        <v>10</v>
      </c>
    </row>
    <row r="2871" spans="1:5" x14ac:dyDescent="0.2">
      <c r="A2871">
        <v>10012853</v>
      </c>
      <c r="B2871">
        <v>26739864</v>
      </c>
      <c r="C2871">
        <v>1</v>
      </c>
      <c r="D2871" s="1" t="s">
        <v>1340</v>
      </c>
      <c r="E2871">
        <v>10</v>
      </c>
    </row>
    <row r="2872" spans="1:5" x14ac:dyDescent="0.2">
      <c r="A2872">
        <v>10012853</v>
      </c>
      <c r="B2872">
        <v>26739864</v>
      </c>
      <c r="C2872">
        <v>7</v>
      </c>
      <c r="D2872" s="1" t="s">
        <v>558</v>
      </c>
      <c r="E2872">
        <v>10</v>
      </c>
    </row>
    <row r="2873" spans="1:5" x14ac:dyDescent="0.2">
      <c r="A2873">
        <v>10012853</v>
      </c>
      <c r="B2873">
        <v>26739864</v>
      </c>
      <c r="C2873">
        <v>11</v>
      </c>
      <c r="D2873" s="1" t="s">
        <v>1337</v>
      </c>
      <c r="E2873">
        <v>10</v>
      </c>
    </row>
    <row r="2874" spans="1:5" x14ac:dyDescent="0.2">
      <c r="A2874">
        <v>10012853</v>
      </c>
      <c r="B2874">
        <v>26739864</v>
      </c>
      <c r="C2874">
        <v>2</v>
      </c>
      <c r="D2874" s="1" t="s">
        <v>1360</v>
      </c>
      <c r="E2874">
        <v>10</v>
      </c>
    </row>
    <row r="2875" spans="1:5" x14ac:dyDescent="0.2">
      <c r="A2875">
        <v>10015931</v>
      </c>
      <c r="B2875">
        <v>24420677</v>
      </c>
      <c r="C2875">
        <v>14</v>
      </c>
      <c r="D2875" s="1" t="s">
        <v>620</v>
      </c>
      <c r="E2875">
        <v>10</v>
      </c>
    </row>
    <row r="2876" spans="1:5" x14ac:dyDescent="0.2">
      <c r="A2876">
        <v>10015931</v>
      </c>
      <c r="B2876">
        <v>24420677</v>
      </c>
      <c r="C2876">
        <v>17</v>
      </c>
      <c r="D2876" s="1" t="s">
        <v>1361</v>
      </c>
      <c r="E2876">
        <v>10</v>
      </c>
    </row>
    <row r="2877" spans="1:5" x14ac:dyDescent="0.2">
      <c r="A2877">
        <v>10015931</v>
      </c>
      <c r="B2877">
        <v>24420677</v>
      </c>
      <c r="C2877">
        <v>23</v>
      </c>
      <c r="D2877" s="1" t="s">
        <v>380</v>
      </c>
      <c r="E2877">
        <v>10</v>
      </c>
    </row>
    <row r="2878" spans="1:5" x14ac:dyDescent="0.2">
      <c r="A2878">
        <v>10015931</v>
      </c>
      <c r="B2878">
        <v>24420677</v>
      </c>
      <c r="C2878">
        <v>3</v>
      </c>
      <c r="D2878" s="1" t="s">
        <v>1224</v>
      </c>
      <c r="E2878">
        <v>10</v>
      </c>
    </row>
    <row r="2879" spans="1:5" x14ac:dyDescent="0.2">
      <c r="A2879">
        <v>10015931</v>
      </c>
      <c r="B2879">
        <v>24420677</v>
      </c>
      <c r="C2879">
        <v>22</v>
      </c>
      <c r="D2879" s="1" t="s">
        <v>1362</v>
      </c>
      <c r="E2879">
        <v>10</v>
      </c>
    </row>
    <row r="2880" spans="1:5" x14ac:dyDescent="0.2">
      <c r="A2880">
        <v>10015931</v>
      </c>
      <c r="B2880">
        <v>24420677</v>
      </c>
      <c r="C2880">
        <v>15</v>
      </c>
      <c r="D2880" s="1" t="s">
        <v>558</v>
      </c>
      <c r="E2880">
        <v>10</v>
      </c>
    </row>
    <row r="2881" spans="1:5" x14ac:dyDescent="0.2">
      <c r="A2881">
        <v>10015931</v>
      </c>
      <c r="B2881">
        <v>24420677</v>
      </c>
      <c r="C2881">
        <v>7</v>
      </c>
      <c r="D2881" s="1" t="s">
        <v>443</v>
      </c>
      <c r="E2881">
        <v>10</v>
      </c>
    </row>
    <row r="2882" spans="1:5" x14ac:dyDescent="0.2">
      <c r="A2882">
        <v>10015931</v>
      </c>
      <c r="B2882">
        <v>24420677</v>
      </c>
      <c r="C2882">
        <v>11</v>
      </c>
      <c r="D2882" s="1" t="s">
        <v>617</v>
      </c>
      <c r="E2882">
        <v>10</v>
      </c>
    </row>
    <row r="2883" spans="1:5" x14ac:dyDescent="0.2">
      <c r="A2883">
        <v>10015931</v>
      </c>
      <c r="B2883">
        <v>24420677</v>
      </c>
      <c r="C2883">
        <v>5</v>
      </c>
      <c r="D2883" s="1" t="s">
        <v>309</v>
      </c>
      <c r="E2883">
        <v>10</v>
      </c>
    </row>
    <row r="2884" spans="1:5" x14ac:dyDescent="0.2">
      <c r="A2884">
        <v>10015931</v>
      </c>
      <c r="B2884">
        <v>24420677</v>
      </c>
      <c r="C2884">
        <v>26</v>
      </c>
      <c r="D2884" s="1" t="s">
        <v>629</v>
      </c>
      <c r="E2884">
        <v>10</v>
      </c>
    </row>
    <row r="2885" spans="1:5" x14ac:dyDescent="0.2">
      <c r="A2885">
        <v>10015931</v>
      </c>
      <c r="B2885">
        <v>24420677</v>
      </c>
      <c r="C2885">
        <v>4</v>
      </c>
      <c r="D2885" s="1" t="s">
        <v>432</v>
      </c>
      <c r="E2885">
        <v>10</v>
      </c>
    </row>
    <row r="2886" spans="1:5" x14ac:dyDescent="0.2">
      <c r="A2886">
        <v>10015931</v>
      </c>
      <c r="B2886">
        <v>24420677</v>
      </c>
      <c r="C2886">
        <v>12</v>
      </c>
      <c r="D2886" s="1" t="s">
        <v>324</v>
      </c>
      <c r="E2886">
        <v>10</v>
      </c>
    </row>
    <row r="2887" spans="1:5" x14ac:dyDescent="0.2">
      <c r="A2887">
        <v>10015931</v>
      </c>
      <c r="B2887">
        <v>24420677</v>
      </c>
      <c r="C2887">
        <v>10</v>
      </c>
      <c r="D2887" s="1" t="s">
        <v>1363</v>
      </c>
      <c r="E2887">
        <v>10</v>
      </c>
    </row>
    <row r="2888" spans="1:5" x14ac:dyDescent="0.2">
      <c r="A2888">
        <v>10015931</v>
      </c>
      <c r="B2888">
        <v>24420677</v>
      </c>
      <c r="C2888">
        <v>1</v>
      </c>
      <c r="D2888" s="1" t="s">
        <v>879</v>
      </c>
      <c r="E2888">
        <v>10</v>
      </c>
    </row>
    <row r="2889" spans="1:5" x14ac:dyDescent="0.2">
      <c r="A2889">
        <v>10015931</v>
      </c>
      <c r="B2889">
        <v>24420677</v>
      </c>
      <c r="C2889">
        <v>21</v>
      </c>
      <c r="D2889" s="1" t="s">
        <v>1364</v>
      </c>
      <c r="E2889">
        <v>10</v>
      </c>
    </row>
    <row r="2890" spans="1:5" x14ac:dyDescent="0.2">
      <c r="A2890">
        <v>10015931</v>
      </c>
      <c r="B2890">
        <v>24420677</v>
      </c>
      <c r="C2890">
        <v>16</v>
      </c>
      <c r="D2890" s="1" t="s">
        <v>329</v>
      </c>
      <c r="E2890">
        <v>10</v>
      </c>
    </row>
    <row r="2891" spans="1:5" x14ac:dyDescent="0.2">
      <c r="A2891">
        <v>10015931</v>
      </c>
      <c r="B2891">
        <v>24420677</v>
      </c>
      <c r="C2891">
        <v>8</v>
      </c>
      <c r="D2891" s="1" t="s">
        <v>1123</v>
      </c>
      <c r="E2891">
        <v>10</v>
      </c>
    </row>
    <row r="2892" spans="1:5" x14ac:dyDescent="0.2">
      <c r="A2892">
        <v>10015931</v>
      </c>
      <c r="B2892">
        <v>24420677</v>
      </c>
      <c r="C2892">
        <v>18</v>
      </c>
      <c r="D2892" s="1" t="s">
        <v>900</v>
      </c>
      <c r="E2892">
        <v>10</v>
      </c>
    </row>
    <row r="2893" spans="1:5" x14ac:dyDescent="0.2">
      <c r="A2893">
        <v>10015931</v>
      </c>
      <c r="B2893">
        <v>24420677</v>
      </c>
      <c r="C2893">
        <v>27</v>
      </c>
      <c r="D2893" s="1" t="s">
        <v>332</v>
      </c>
      <c r="E2893">
        <v>10</v>
      </c>
    </row>
    <row r="2894" spans="1:5" x14ac:dyDescent="0.2">
      <c r="A2894">
        <v>10015931</v>
      </c>
      <c r="B2894">
        <v>24420677</v>
      </c>
      <c r="C2894">
        <v>9</v>
      </c>
      <c r="D2894" s="1" t="s">
        <v>1365</v>
      </c>
      <c r="E2894">
        <v>10</v>
      </c>
    </row>
    <row r="2895" spans="1:5" x14ac:dyDescent="0.2">
      <c r="A2895">
        <v>10015931</v>
      </c>
      <c r="B2895">
        <v>24420677</v>
      </c>
      <c r="C2895">
        <v>6</v>
      </c>
      <c r="D2895" s="1" t="s">
        <v>864</v>
      </c>
      <c r="E2895">
        <v>10</v>
      </c>
    </row>
    <row r="2896" spans="1:5" x14ac:dyDescent="0.2">
      <c r="A2896">
        <v>10015931</v>
      </c>
      <c r="B2896">
        <v>24420677</v>
      </c>
      <c r="C2896">
        <v>24</v>
      </c>
      <c r="D2896" s="1" t="s">
        <v>1366</v>
      </c>
      <c r="E2896">
        <v>10</v>
      </c>
    </row>
    <row r="2897" spans="1:5" x14ac:dyDescent="0.2">
      <c r="A2897">
        <v>10015931</v>
      </c>
      <c r="B2897">
        <v>24420677</v>
      </c>
      <c r="C2897">
        <v>2</v>
      </c>
      <c r="D2897" s="1" t="s">
        <v>608</v>
      </c>
      <c r="E2897">
        <v>10</v>
      </c>
    </row>
    <row r="2898" spans="1:5" x14ac:dyDescent="0.2">
      <c r="A2898">
        <v>10015931</v>
      </c>
      <c r="B2898">
        <v>24420677</v>
      </c>
      <c r="C2898">
        <v>20</v>
      </c>
      <c r="D2898" s="1" t="s">
        <v>337</v>
      </c>
      <c r="E2898">
        <v>10</v>
      </c>
    </row>
    <row r="2899" spans="1:5" x14ac:dyDescent="0.2">
      <c r="A2899">
        <v>10015931</v>
      </c>
      <c r="B2899">
        <v>24420677</v>
      </c>
      <c r="C2899">
        <v>25</v>
      </c>
      <c r="D2899" s="1" t="s">
        <v>1040</v>
      </c>
      <c r="E2899">
        <v>10</v>
      </c>
    </row>
    <row r="2900" spans="1:5" x14ac:dyDescent="0.2">
      <c r="A2900">
        <v>10015931</v>
      </c>
      <c r="B2900">
        <v>24420677</v>
      </c>
      <c r="C2900">
        <v>19</v>
      </c>
      <c r="D2900" s="1" t="s">
        <v>760</v>
      </c>
      <c r="E2900">
        <v>10</v>
      </c>
    </row>
    <row r="2901" spans="1:5" x14ac:dyDescent="0.2">
      <c r="A2901">
        <v>10015931</v>
      </c>
      <c r="B2901">
        <v>24420677</v>
      </c>
      <c r="C2901">
        <v>13</v>
      </c>
      <c r="D2901" s="1" t="s">
        <v>621</v>
      </c>
      <c r="E2901">
        <v>10</v>
      </c>
    </row>
    <row r="2902" spans="1:5" x14ac:dyDescent="0.2">
      <c r="A2902">
        <v>10015931</v>
      </c>
      <c r="B2902">
        <v>22130791</v>
      </c>
      <c r="C2902">
        <v>14</v>
      </c>
      <c r="D2902" s="1" t="s">
        <v>324</v>
      </c>
      <c r="E2902">
        <v>10</v>
      </c>
    </row>
    <row r="2903" spans="1:5" x14ac:dyDescent="0.2">
      <c r="A2903">
        <v>10015931</v>
      </c>
      <c r="B2903">
        <v>22130791</v>
      </c>
      <c r="C2903">
        <v>23</v>
      </c>
      <c r="D2903" s="1" t="s">
        <v>1367</v>
      </c>
      <c r="E2903">
        <v>10</v>
      </c>
    </row>
    <row r="2904" spans="1:5" x14ac:dyDescent="0.2">
      <c r="A2904">
        <v>10015931</v>
      </c>
      <c r="B2904">
        <v>22130791</v>
      </c>
      <c r="C2904">
        <v>16</v>
      </c>
      <c r="D2904" s="1" t="s">
        <v>446</v>
      </c>
      <c r="E2904">
        <v>10</v>
      </c>
    </row>
    <row r="2905" spans="1:5" x14ac:dyDescent="0.2">
      <c r="A2905">
        <v>10015931</v>
      </c>
      <c r="B2905">
        <v>22130791</v>
      </c>
      <c r="C2905">
        <v>6</v>
      </c>
      <c r="D2905" s="1" t="s">
        <v>1224</v>
      </c>
      <c r="E2905">
        <v>10</v>
      </c>
    </row>
    <row r="2906" spans="1:5" x14ac:dyDescent="0.2">
      <c r="A2906">
        <v>10015931</v>
      </c>
      <c r="B2906">
        <v>22130791</v>
      </c>
      <c r="C2906">
        <v>3</v>
      </c>
      <c r="D2906" s="1" t="s">
        <v>742</v>
      </c>
      <c r="E2906">
        <v>10</v>
      </c>
    </row>
    <row r="2907" spans="1:5" x14ac:dyDescent="0.2">
      <c r="A2907">
        <v>10015931</v>
      </c>
      <c r="B2907">
        <v>22130791</v>
      </c>
      <c r="C2907">
        <v>19</v>
      </c>
      <c r="D2907" s="1" t="s">
        <v>1024</v>
      </c>
      <c r="E2907">
        <v>10</v>
      </c>
    </row>
    <row r="2908" spans="1:5" x14ac:dyDescent="0.2">
      <c r="A2908">
        <v>10015931</v>
      </c>
      <c r="B2908">
        <v>22130791</v>
      </c>
      <c r="C2908">
        <v>9</v>
      </c>
      <c r="D2908" s="1" t="s">
        <v>625</v>
      </c>
      <c r="E2908">
        <v>10</v>
      </c>
    </row>
    <row r="2909" spans="1:5" x14ac:dyDescent="0.2">
      <c r="A2909">
        <v>10015931</v>
      </c>
      <c r="B2909">
        <v>22130791</v>
      </c>
      <c r="C2909">
        <v>15</v>
      </c>
      <c r="D2909" s="1" t="s">
        <v>864</v>
      </c>
      <c r="E2909">
        <v>10</v>
      </c>
    </row>
    <row r="2910" spans="1:5" x14ac:dyDescent="0.2">
      <c r="A2910">
        <v>10015931</v>
      </c>
      <c r="B2910">
        <v>22130791</v>
      </c>
      <c r="C2910">
        <v>2</v>
      </c>
      <c r="D2910" s="1" t="s">
        <v>520</v>
      </c>
      <c r="E2910">
        <v>10</v>
      </c>
    </row>
    <row r="2911" spans="1:5" x14ac:dyDescent="0.2">
      <c r="A2911">
        <v>10015931</v>
      </c>
      <c r="B2911">
        <v>22130791</v>
      </c>
      <c r="C2911">
        <v>5</v>
      </c>
      <c r="D2911" s="1" t="s">
        <v>608</v>
      </c>
      <c r="E2911">
        <v>10</v>
      </c>
    </row>
    <row r="2912" spans="1:5" x14ac:dyDescent="0.2">
      <c r="A2912">
        <v>10015931</v>
      </c>
      <c r="B2912">
        <v>22130791</v>
      </c>
      <c r="C2912">
        <v>7</v>
      </c>
      <c r="D2912" s="1" t="s">
        <v>1191</v>
      </c>
      <c r="E2912">
        <v>10</v>
      </c>
    </row>
    <row r="2913" spans="1:5" x14ac:dyDescent="0.2">
      <c r="A2913">
        <v>10015931</v>
      </c>
      <c r="B2913">
        <v>22130791</v>
      </c>
      <c r="C2913">
        <v>21</v>
      </c>
      <c r="D2913" s="1" t="s">
        <v>558</v>
      </c>
      <c r="E2913">
        <v>10</v>
      </c>
    </row>
    <row r="2914" spans="1:5" x14ac:dyDescent="0.2">
      <c r="A2914">
        <v>10015931</v>
      </c>
      <c r="B2914">
        <v>22130791</v>
      </c>
      <c r="C2914">
        <v>8</v>
      </c>
      <c r="D2914" s="1" t="s">
        <v>309</v>
      </c>
      <c r="E2914">
        <v>10</v>
      </c>
    </row>
    <row r="2915" spans="1:5" x14ac:dyDescent="0.2">
      <c r="A2915">
        <v>10015931</v>
      </c>
      <c r="B2915">
        <v>22130791</v>
      </c>
      <c r="C2915">
        <v>17</v>
      </c>
      <c r="D2915" s="1" t="s">
        <v>1361</v>
      </c>
      <c r="E2915">
        <v>10</v>
      </c>
    </row>
    <row r="2916" spans="1:5" x14ac:dyDescent="0.2">
      <c r="A2916">
        <v>10015931</v>
      </c>
      <c r="B2916">
        <v>22130791</v>
      </c>
      <c r="C2916">
        <v>22</v>
      </c>
      <c r="D2916" s="1" t="s">
        <v>1368</v>
      </c>
      <c r="E2916">
        <v>10</v>
      </c>
    </row>
    <row r="2917" spans="1:5" x14ac:dyDescent="0.2">
      <c r="A2917">
        <v>10015931</v>
      </c>
      <c r="B2917">
        <v>22130791</v>
      </c>
      <c r="C2917">
        <v>10</v>
      </c>
      <c r="D2917" s="1" t="s">
        <v>334</v>
      </c>
      <c r="E2917">
        <v>10</v>
      </c>
    </row>
    <row r="2918" spans="1:5" x14ac:dyDescent="0.2">
      <c r="A2918">
        <v>10015931</v>
      </c>
      <c r="B2918">
        <v>22130791</v>
      </c>
      <c r="C2918">
        <v>12</v>
      </c>
      <c r="D2918" s="1" t="s">
        <v>867</v>
      </c>
      <c r="E2918">
        <v>10</v>
      </c>
    </row>
    <row r="2919" spans="1:5" x14ac:dyDescent="0.2">
      <c r="A2919">
        <v>10015931</v>
      </c>
      <c r="B2919">
        <v>22130791</v>
      </c>
      <c r="C2919">
        <v>13</v>
      </c>
      <c r="D2919" s="1" t="s">
        <v>1365</v>
      </c>
      <c r="E2919">
        <v>10</v>
      </c>
    </row>
    <row r="2920" spans="1:5" x14ac:dyDescent="0.2">
      <c r="A2920">
        <v>10015931</v>
      </c>
      <c r="B2920">
        <v>22130791</v>
      </c>
      <c r="C2920">
        <v>4</v>
      </c>
      <c r="D2920" s="1" t="s">
        <v>793</v>
      </c>
      <c r="E2920">
        <v>10</v>
      </c>
    </row>
    <row r="2921" spans="1:5" x14ac:dyDescent="0.2">
      <c r="A2921">
        <v>10015931</v>
      </c>
      <c r="B2921">
        <v>22130791</v>
      </c>
      <c r="C2921">
        <v>11</v>
      </c>
      <c r="D2921" s="1" t="s">
        <v>1369</v>
      </c>
      <c r="E2921">
        <v>10</v>
      </c>
    </row>
    <row r="2922" spans="1:5" x14ac:dyDescent="0.2">
      <c r="A2922">
        <v>10015931</v>
      </c>
      <c r="B2922">
        <v>22130791</v>
      </c>
      <c r="C2922">
        <v>20</v>
      </c>
      <c r="D2922" s="1" t="s">
        <v>1034</v>
      </c>
      <c r="E2922">
        <v>10</v>
      </c>
    </row>
    <row r="2923" spans="1:5" x14ac:dyDescent="0.2">
      <c r="A2923">
        <v>10015931</v>
      </c>
      <c r="B2923">
        <v>22130791</v>
      </c>
      <c r="C2923">
        <v>1</v>
      </c>
      <c r="D2923" s="1" t="s">
        <v>1196</v>
      </c>
      <c r="E2923">
        <v>10</v>
      </c>
    </row>
    <row r="2924" spans="1:5" x14ac:dyDescent="0.2">
      <c r="A2924">
        <v>10015931</v>
      </c>
      <c r="B2924">
        <v>22130791</v>
      </c>
      <c r="C2924">
        <v>18</v>
      </c>
      <c r="D2924" s="1" t="s">
        <v>563</v>
      </c>
      <c r="E2924">
        <v>10</v>
      </c>
    </row>
    <row r="2925" spans="1:5" x14ac:dyDescent="0.2">
      <c r="A2925">
        <v>10015931</v>
      </c>
      <c r="B2925">
        <v>28157142</v>
      </c>
      <c r="C2925">
        <v>2</v>
      </c>
      <c r="D2925" s="1" t="s">
        <v>879</v>
      </c>
      <c r="E2925">
        <v>10</v>
      </c>
    </row>
    <row r="2926" spans="1:5" x14ac:dyDescent="0.2">
      <c r="A2926">
        <v>10015931</v>
      </c>
      <c r="B2926">
        <v>28157142</v>
      </c>
      <c r="C2926">
        <v>16</v>
      </c>
      <c r="D2926" s="1" t="s">
        <v>864</v>
      </c>
      <c r="E2926">
        <v>10</v>
      </c>
    </row>
    <row r="2927" spans="1:5" x14ac:dyDescent="0.2">
      <c r="A2927">
        <v>10015931</v>
      </c>
      <c r="B2927">
        <v>28157142</v>
      </c>
      <c r="C2927">
        <v>1</v>
      </c>
      <c r="D2927" s="1" t="s">
        <v>888</v>
      </c>
      <c r="E2927">
        <v>10</v>
      </c>
    </row>
    <row r="2928" spans="1:5" x14ac:dyDescent="0.2">
      <c r="A2928">
        <v>10015931</v>
      </c>
      <c r="B2928">
        <v>28157142</v>
      </c>
      <c r="C2928">
        <v>3</v>
      </c>
      <c r="D2928" s="1" t="s">
        <v>1182</v>
      </c>
      <c r="E2928">
        <v>10</v>
      </c>
    </row>
    <row r="2929" spans="1:5" x14ac:dyDescent="0.2">
      <c r="A2929">
        <v>10015931</v>
      </c>
      <c r="B2929">
        <v>28157142</v>
      </c>
      <c r="C2929">
        <v>8</v>
      </c>
      <c r="D2929" s="1" t="s">
        <v>1370</v>
      </c>
      <c r="E2929">
        <v>10</v>
      </c>
    </row>
    <row r="2930" spans="1:5" x14ac:dyDescent="0.2">
      <c r="A2930">
        <v>10015931</v>
      </c>
      <c r="B2930">
        <v>28157142</v>
      </c>
      <c r="C2930">
        <v>22</v>
      </c>
      <c r="D2930" s="1" t="s">
        <v>792</v>
      </c>
      <c r="E2930">
        <v>10</v>
      </c>
    </row>
    <row r="2931" spans="1:5" x14ac:dyDescent="0.2">
      <c r="A2931">
        <v>10015931</v>
      </c>
      <c r="B2931">
        <v>28157142</v>
      </c>
      <c r="C2931">
        <v>7</v>
      </c>
      <c r="D2931" s="1" t="s">
        <v>429</v>
      </c>
      <c r="E2931">
        <v>10</v>
      </c>
    </row>
    <row r="2932" spans="1:5" x14ac:dyDescent="0.2">
      <c r="A2932">
        <v>10015931</v>
      </c>
      <c r="B2932">
        <v>28157142</v>
      </c>
      <c r="C2932">
        <v>15</v>
      </c>
      <c r="D2932" s="1" t="s">
        <v>329</v>
      </c>
      <c r="E2932">
        <v>10</v>
      </c>
    </row>
    <row r="2933" spans="1:5" x14ac:dyDescent="0.2">
      <c r="A2933">
        <v>10015931</v>
      </c>
      <c r="B2933">
        <v>28157142</v>
      </c>
      <c r="C2933">
        <v>5</v>
      </c>
      <c r="D2933" s="1" t="s">
        <v>625</v>
      </c>
      <c r="E2933">
        <v>10</v>
      </c>
    </row>
    <row r="2934" spans="1:5" x14ac:dyDescent="0.2">
      <c r="A2934">
        <v>10015931</v>
      </c>
      <c r="B2934">
        <v>28157142</v>
      </c>
      <c r="C2934">
        <v>28</v>
      </c>
      <c r="D2934" s="1" t="s">
        <v>1371</v>
      </c>
      <c r="E2934">
        <v>10</v>
      </c>
    </row>
    <row r="2935" spans="1:5" x14ac:dyDescent="0.2">
      <c r="A2935">
        <v>10015931</v>
      </c>
      <c r="B2935">
        <v>28157142</v>
      </c>
      <c r="C2935">
        <v>9</v>
      </c>
      <c r="D2935" s="1" t="s">
        <v>1372</v>
      </c>
      <c r="E2935">
        <v>10</v>
      </c>
    </row>
    <row r="2936" spans="1:5" x14ac:dyDescent="0.2">
      <c r="A2936">
        <v>10015931</v>
      </c>
      <c r="B2936">
        <v>28157142</v>
      </c>
      <c r="C2936">
        <v>14</v>
      </c>
      <c r="D2936" s="1" t="s">
        <v>558</v>
      </c>
      <c r="E2936">
        <v>10</v>
      </c>
    </row>
    <row r="2937" spans="1:5" x14ac:dyDescent="0.2">
      <c r="A2937">
        <v>10015931</v>
      </c>
      <c r="B2937">
        <v>28157142</v>
      </c>
      <c r="C2937">
        <v>19</v>
      </c>
      <c r="D2937" s="1" t="s">
        <v>443</v>
      </c>
      <c r="E2937">
        <v>10</v>
      </c>
    </row>
    <row r="2938" spans="1:5" x14ac:dyDescent="0.2">
      <c r="A2938">
        <v>10015931</v>
      </c>
      <c r="B2938">
        <v>28157142</v>
      </c>
      <c r="C2938">
        <v>21</v>
      </c>
      <c r="D2938" s="1" t="s">
        <v>1024</v>
      </c>
      <c r="E2938">
        <v>10</v>
      </c>
    </row>
    <row r="2939" spans="1:5" x14ac:dyDescent="0.2">
      <c r="A2939">
        <v>10015931</v>
      </c>
      <c r="B2939">
        <v>28157142</v>
      </c>
      <c r="C2939">
        <v>18</v>
      </c>
      <c r="D2939" s="1" t="s">
        <v>630</v>
      </c>
      <c r="E2939">
        <v>10</v>
      </c>
    </row>
    <row r="2940" spans="1:5" x14ac:dyDescent="0.2">
      <c r="A2940">
        <v>10015931</v>
      </c>
      <c r="B2940">
        <v>28157142</v>
      </c>
      <c r="C2940">
        <v>27</v>
      </c>
      <c r="D2940" s="1" t="s">
        <v>1373</v>
      </c>
      <c r="E2940">
        <v>10</v>
      </c>
    </row>
    <row r="2941" spans="1:5" x14ac:dyDescent="0.2">
      <c r="A2941">
        <v>10015931</v>
      </c>
      <c r="B2941">
        <v>28157142</v>
      </c>
      <c r="C2941">
        <v>13</v>
      </c>
      <c r="D2941" s="1" t="s">
        <v>1374</v>
      </c>
      <c r="E2941">
        <v>10</v>
      </c>
    </row>
    <row r="2942" spans="1:5" x14ac:dyDescent="0.2">
      <c r="A2942">
        <v>10015931</v>
      </c>
      <c r="B2942">
        <v>28157142</v>
      </c>
      <c r="C2942">
        <v>12</v>
      </c>
      <c r="D2942" s="1" t="s">
        <v>755</v>
      </c>
      <c r="E2942">
        <v>10</v>
      </c>
    </row>
    <row r="2943" spans="1:5" x14ac:dyDescent="0.2">
      <c r="A2943">
        <v>10015931</v>
      </c>
      <c r="B2943">
        <v>28157142</v>
      </c>
      <c r="C2943">
        <v>11</v>
      </c>
      <c r="D2943" s="1" t="s">
        <v>985</v>
      </c>
      <c r="E2943">
        <v>10</v>
      </c>
    </row>
    <row r="2944" spans="1:5" x14ac:dyDescent="0.2">
      <c r="A2944">
        <v>10015931</v>
      </c>
      <c r="B2944">
        <v>28157142</v>
      </c>
      <c r="C2944">
        <v>10</v>
      </c>
      <c r="D2944" s="1" t="s">
        <v>446</v>
      </c>
      <c r="E2944">
        <v>10</v>
      </c>
    </row>
    <row r="2945" spans="1:5" x14ac:dyDescent="0.2">
      <c r="A2945">
        <v>10015931</v>
      </c>
      <c r="B2945">
        <v>28157142</v>
      </c>
      <c r="C2945">
        <v>17</v>
      </c>
      <c r="D2945" s="1" t="s">
        <v>621</v>
      </c>
      <c r="E2945">
        <v>10</v>
      </c>
    </row>
    <row r="2946" spans="1:5" x14ac:dyDescent="0.2">
      <c r="A2946">
        <v>10015931</v>
      </c>
      <c r="B2946">
        <v>28157142</v>
      </c>
      <c r="C2946">
        <v>30</v>
      </c>
      <c r="D2946" s="1" t="s">
        <v>904</v>
      </c>
      <c r="E2946">
        <v>10</v>
      </c>
    </row>
    <row r="2947" spans="1:5" x14ac:dyDescent="0.2">
      <c r="A2947">
        <v>10015931</v>
      </c>
      <c r="B2947">
        <v>28157142</v>
      </c>
      <c r="C2947">
        <v>26</v>
      </c>
      <c r="D2947" s="1" t="s">
        <v>1375</v>
      </c>
      <c r="E2947">
        <v>10</v>
      </c>
    </row>
    <row r="2948" spans="1:5" x14ac:dyDescent="0.2">
      <c r="A2948">
        <v>10015931</v>
      </c>
      <c r="B2948">
        <v>28157142</v>
      </c>
      <c r="C2948">
        <v>20</v>
      </c>
      <c r="D2948" s="1" t="s">
        <v>620</v>
      </c>
      <c r="E2948">
        <v>10</v>
      </c>
    </row>
    <row r="2949" spans="1:5" x14ac:dyDescent="0.2">
      <c r="A2949">
        <v>10015931</v>
      </c>
      <c r="B2949">
        <v>28157142</v>
      </c>
      <c r="C2949">
        <v>25</v>
      </c>
      <c r="D2949" s="1" t="s">
        <v>1376</v>
      </c>
      <c r="E2949">
        <v>10</v>
      </c>
    </row>
    <row r="2950" spans="1:5" x14ac:dyDescent="0.2">
      <c r="A2950">
        <v>10015931</v>
      </c>
      <c r="B2950">
        <v>28157142</v>
      </c>
      <c r="C2950">
        <v>23</v>
      </c>
      <c r="D2950" s="1" t="s">
        <v>1377</v>
      </c>
      <c r="E2950">
        <v>10</v>
      </c>
    </row>
    <row r="2951" spans="1:5" x14ac:dyDescent="0.2">
      <c r="A2951">
        <v>10015931</v>
      </c>
      <c r="B2951">
        <v>28157142</v>
      </c>
      <c r="C2951">
        <v>24</v>
      </c>
      <c r="D2951" s="1" t="s">
        <v>1102</v>
      </c>
      <c r="E2951">
        <v>10</v>
      </c>
    </row>
    <row r="2952" spans="1:5" x14ac:dyDescent="0.2">
      <c r="A2952">
        <v>10015931</v>
      </c>
      <c r="B2952">
        <v>28157142</v>
      </c>
      <c r="C2952">
        <v>6</v>
      </c>
      <c r="D2952" s="1" t="s">
        <v>617</v>
      </c>
      <c r="E2952">
        <v>10</v>
      </c>
    </row>
    <row r="2953" spans="1:5" x14ac:dyDescent="0.2">
      <c r="A2953">
        <v>10015931</v>
      </c>
      <c r="B2953">
        <v>28157142</v>
      </c>
      <c r="C2953">
        <v>29</v>
      </c>
      <c r="D2953" s="1" t="s">
        <v>1378</v>
      </c>
      <c r="E2953">
        <v>10</v>
      </c>
    </row>
    <row r="2954" spans="1:5" x14ac:dyDescent="0.2">
      <c r="A2954">
        <v>10015931</v>
      </c>
      <c r="B2954">
        <v>28157142</v>
      </c>
      <c r="C2954">
        <v>4</v>
      </c>
      <c r="D2954" s="1" t="s">
        <v>423</v>
      </c>
      <c r="E2954">
        <v>10</v>
      </c>
    </row>
    <row r="2955" spans="1:5" x14ac:dyDescent="0.2">
      <c r="A2955">
        <v>10019003</v>
      </c>
      <c r="B2955">
        <v>27525946</v>
      </c>
      <c r="C2955">
        <v>20</v>
      </c>
      <c r="D2955" s="1" t="s">
        <v>1379</v>
      </c>
      <c r="E2955">
        <v>10</v>
      </c>
    </row>
    <row r="2956" spans="1:5" x14ac:dyDescent="0.2">
      <c r="A2956">
        <v>10019003</v>
      </c>
      <c r="B2956">
        <v>27525946</v>
      </c>
      <c r="C2956">
        <v>3</v>
      </c>
      <c r="D2956" s="1" t="s">
        <v>793</v>
      </c>
      <c r="E2956">
        <v>10</v>
      </c>
    </row>
    <row r="2957" spans="1:5" x14ac:dyDescent="0.2">
      <c r="A2957">
        <v>10019003</v>
      </c>
      <c r="B2957">
        <v>27525946</v>
      </c>
      <c r="C2957">
        <v>10</v>
      </c>
      <c r="D2957" s="1" t="s">
        <v>1380</v>
      </c>
      <c r="E2957">
        <v>10</v>
      </c>
    </row>
    <row r="2958" spans="1:5" x14ac:dyDescent="0.2">
      <c r="A2958">
        <v>10019003</v>
      </c>
      <c r="B2958">
        <v>27525946</v>
      </c>
      <c r="C2958">
        <v>19</v>
      </c>
      <c r="D2958" s="1" t="s">
        <v>673</v>
      </c>
      <c r="E2958">
        <v>10</v>
      </c>
    </row>
    <row r="2959" spans="1:5" x14ac:dyDescent="0.2">
      <c r="A2959">
        <v>10019003</v>
      </c>
      <c r="B2959">
        <v>27525946</v>
      </c>
      <c r="C2959">
        <v>4</v>
      </c>
      <c r="D2959" s="1" t="s">
        <v>559</v>
      </c>
      <c r="E2959">
        <v>10</v>
      </c>
    </row>
    <row r="2960" spans="1:5" x14ac:dyDescent="0.2">
      <c r="A2960">
        <v>10019003</v>
      </c>
      <c r="B2960">
        <v>27525946</v>
      </c>
      <c r="C2960">
        <v>5</v>
      </c>
      <c r="D2960" s="1" t="s">
        <v>1186</v>
      </c>
      <c r="E2960">
        <v>10</v>
      </c>
    </row>
    <row r="2961" spans="1:5" x14ac:dyDescent="0.2">
      <c r="A2961">
        <v>10019003</v>
      </c>
      <c r="B2961">
        <v>27525946</v>
      </c>
      <c r="C2961">
        <v>18</v>
      </c>
      <c r="D2961" s="1" t="s">
        <v>1274</v>
      </c>
      <c r="E2961">
        <v>10</v>
      </c>
    </row>
    <row r="2962" spans="1:5" x14ac:dyDescent="0.2">
      <c r="A2962">
        <v>10019003</v>
      </c>
      <c r="B2962">
        <v>27525946</v>
      </c>
      <c r="C2962">
        <v>8</v>
      </c>
      <c r="D2962" s="1" t="s">
        <v>334</v>
      </c>
      <c r="E2962">
        <v>10</v>
      </c>
    </row>
    <row r="2963" spans="1:5" x14ac:dyDescent="0.2">
      <c r="A2963">
        <v>10019003</v>
      </c>
      <c r="B2963">
        <v>27525946</v>
      </c>
      <c r="C2963">
        <v>15</v>
      </c>
      <c r="D2963" s="1" t="s">
        <v>329</v>
      </c>
      <c r="E2963">
        <v>10</v>
      </c>
    </row>
    <row r="2964" spans="1:5" x14ac:dyDescent="0.2">
      <c r="A2964">
        <v>10019003</v>
      </c>
      <c r="B2964">
        <v>27525946</v>
      </c>
      <c r="C2964">
        <v>11</v>
      </c>
      <c r="D2964" s="1" t="s">
        <v>430</v>
      </c>
      <c r="E2964">
        <v>10</v>
      </c>
    </row>
    <row r="2965" spans="1:5" x14ac:dyDescent="0.2">
      <c r="A2965">
        <v>10019003</v>
      </c>
      <c r="B2965">
        <v>27525946</v>
      </c>
      <c r="C2965">
        <v>24</v>
      </c>
      <c r="D2965" s="1" t="s">
        <v>620</v>
      </c>
      <c r="E2965">
        <v>10</v>
      </c>
    </row>
    <row r="2966" spans="1:5" x14ac:dyDescent="0.2">
      <c r="A2966">
        <v>10019003</v>
      </c>
      <c r="B2966">
        <v>27525946</v>
      </c>
      <c r="C2966">
        <v>9</v>
      </c>
      <c r="D2966" s="1" t="s">
        <v>1381</v>
      </c>
      <c r="E2966">
        <v>10</v>
      </c>
    </row>
    <row r="2967" spans="1:5" x14ac:dyDescent="0.2">
      <c r="A2967">
        <v>10019003</v>
      </c>
      <c r="B2967">
        <v>27525946</v>
      </c>
      <c r="C2967">
        <v>16</v>
      </c>
      <c r="D2967" s="1" t="s">
        <v>1070</v>
      </c>
      <c r="E2967">
        <v>10</v>
      </c>
    </row>
    <row r="2968" spans="1:5" x14ac:dyDescent="0.2">
      <c r="A2968">
        <v>10019003</v>
      </c>
      <c r="B2968">
        <v>27525946</v>
      </c>
      <c r="C2968">
        <v>12</v>
      </c>
      <c r="D2968" s="1" t="s">
        <v>560</v>
      </c>
      <c r="E2968">
        <v>10</v>
      </c>
    </row>
    <row r="2969" spans="1:5" x14ac:dyDescent="0.2">
      <c r="A2969">
        <v>10019003</v>
      </c>
      <c r="B2969">
        <v>27525946</v>
      </c>
      <c r="C2969">
        <v>7</v>
      </c>
      <c r="D2969" s="1" t="s">
        <v>309</v>
      </c>
      <c r="E2969">
        <v>10</v>
      </c>
    </row>
    <row r="2970" spans="1:5" x14ac:dyDescent="0.2">
      <c r="A2970">
        <v>10019003</v>
      </c>
      <c r="B2970">
        <v>27525946</v>
      </c>
      <c r="C2970">
        <v>1</v>
      </c>
      <c r="D2970" s="1" t="s">
        <v>1382</v>
      </c>
      <c r="E2970">
        <v>10</v>
      </c>
    </row>
    <row r="2971" spans="1:5" x14ac:dyDescent="0.2">
      <c r="A2971">
        <v>10019003</v>
      </c>
      <c r="B2971">
        <v>27525946</v>
      </c>
      <c r="C2971">
        <v>2</v>
      </c>
      <c r="D2971" s="1" t="s">
        <v>564</v>
      </c>
      <c r="E2971">
        <v>10</v>
      </c>
    </row>
    <row r="2972" spans="1:5" x14ac:dyDescent="0.2">
      <c r="A2972">
        <v>10019003</v>
      </c>
      <c r="B2972">
        <v>27525946</v>
      </c>
      <c r="C2972">
        <v>17</v>
      </c>
      <c r="D2972" s="1" t="s">
        <v>563</v>
      </c>
      <c r="E2972">
        <v>10</v>
      </c>
    </row>
    <row r="2973" spans="1:5" x14ac:dyDescent="0.2">
      <c r="A2973">
        <v>10019003</v>
      </c>
      <c r="B2973">
        <v>27525946</v>
      </c>
      <c r="C2973">
        <v>21</v>
      </c>
      <c r="D2973" s="1" t="s">
        <v>378</v>
      </c>
      <c r="E2973">
        <v>10</v>
      </c>
    </row>
    <row r="2974" spans="1:5" x14ac:dyDescent="0.2">
      <c r="A2974">
        <v>10019003</v>
      </c>
      <c r="B2974">
        <v>27525946</v>
      </c>
      <c r="C2974">
        <v>6</v>
      </c>
      <c r="D2974" s="1" t="s">
        <v>666</v>
      </c>
      <c r="E2974">
        <v>10</v>
      </c>
    </row>
    <row r="2975" spans="1:5" x14ac:dyDescent="0.2">
      <c r="A2975">
        <v>10019003</v>
      </c>
      <c r="B2975">
        <v>27525946</v>
      </c>
      <c r="C2975">
        <v>14</v>
      </c>
      <c r="D2975" s="1" t="s">
        <v>379</v>
      </c>
      <c r="E2975">
        <v>10</v>
      </c>
    </row>
    <row r="2976" spans="1:5" x14ac:dyDescent="0.2">
      <c r="A2976">
        <v>10019003</v>
      </c>
      <c r="B2976">
        <v>27525946</v>
      </c>
      <c r="C2976">
        <v>23</v>
      </c>
      <c r="D2976" s="1" t="s">
        <v>328</v>
      </c>
      <c r="E2976">
        <v>10</v>
      </c>
    </row>
    <row r="2977" spans="1:5" x14ac:dyDescent="0.2">
      <c r="A2977">
        <v>10019003</v>
      </c>
      <c r="B2977">
        <v>27525946</v>
      </c>
      <c r="C2977">
        <v>13</v>
      </c>
      <c r="D2977" s="1" t="s">
        <v>558</v>
      </c>
      <c r="E2977">
        <v>10</v>
      </c>
    </row>
    <row r="2978" spans="1:5" x14ac:dyDescent="0.2">
      <c r="A2978">
        <v>10019003</v>
      </c>
      <c r="B2978">
        <v>27525946</v>
      </c>
      <c r="C2978">
        <v>22</v>
      </c>
      <c r="D2978" s="1" t="s">
        <v>1383</v>
      </c>
      <c r="E2978">
        <v>10</v>
      </c>
    </row>
    <row r="2979" spans="1:5" x14ac:dyDescent="0.2">
      <c r="A2979">
        <v>10019003</v>
      </c>
      <c r="B2979">
        <v>21457723</v>
      </c>
      <c r="C2979">
        <v>1</v>
      </c>
      <c r="D2979" s="1" t="s">
        <v>1184</v>
      </c>
      <c r="E2979">
        <v>10</v>
      </c>
    </row>
    <row r="2980" spans="1:5" x14ac:dyDescent="0.2">
      <c r="A2980">
        <v>10019003</v>
      </c>
      <c r="B2980">
        <v>21457723</v>
      </c>
      <c r="C2980">
        <v>9</v>
      </c>
      <c r="D2980" s="1" t="s">
        <v>752</v>
      </c>
      <c r="E2980">
        <v>10</v>
      </c>
    </row>
    <row r="2981" spans="1:5" x14ac:dyDescent="0.2">
      <c r="A2981">
        <v>10019003</v>
      </c>
      <c r="B2981">
        <v>21457723</v>
      </c>
      <c r="C2981">
        <v>7</v>
      </c>
      <c r="D2981" s="1" t="s">
        <v>1384</v>
      </c>
      <c r="E2981">
        <v>10</v>
      </c>
    </row>
    <row r="2982" spans="1:5" x14ac:dyDescent="0.2">
      <c r="A2982">
        <v>10019003</v>
      </c>
      <c r="B2982">
        <v>21457723</v>
      </c>
      <c r="C2982">
        <v>15</v>
      </c>
      <c r="D2982" s="1" t="s">
        <v>560</v>
      </c>
      <c r="E2982">
        <v>10</v>
      </c>
    </row>
    <row r="2983" spans="1:5" x14ac:dyDescent="0.2">
      <c r="A2983">
        <v>10019003</v>
      </c>
      <c r="B2983">
        <v>21457723</v>
      </c>
      <c r="C2983">
        <v>5</v>
      </c>
      <c r="D2983" s="1" t="s">
        <v>1385</v>
      </c>
      <c r="E2983">
        <v>10</v>
      </c>
    </row>
    <row r="2984" spans="1:5" x14ac:dyDescent="0.2">
      <c r="A2984">
        <v>10019003</v>
      </c>
      <c r="B2984">
        <v>21457723</v>
      </c>
      <c r="C2984">
        <v>21</v>
      </c>
      <c r="D2984" s="1" t="s">
        <v>1278</v>
      </c>
      <c r="E2984">
        <v>10</v>
      </c>
    </row>
    <row r="2985" spans="1:5" x14ac:dyDescent="0.2">
      <c r="A2985">
        <v>10019003</v>
      </c>
      <c r="B2985">
        <v>21457723</v>
      </c>
      <c r="C2985">
        <v>10</v>
      </c>
      <c r="D2985" s="1" t="s">
        <v>673</v>
      </c>
      <c r="E2985">
        <v>10</v>
      </c>
    </row>
    <row r="2986" spans="1:5" x14ac:dyDescent="0.2">
      <c r="A2986">
        <v>10019003</v>
      </c>
      <c r="B2986">
        <v>21457723</v>
      </c>
      <c r="C2986">
        <v>8</v>
      </c>
      <c r="D2986" s="1" t="s">
        <v>1147</v>
      </c>
      <c r="E2986">
        <v>10</v>
      </c>
    </row>
    <row r="2987" spans="1:5" x14ac:dyDescent="0.2">
      <c r="A2987">
        <v>10019003</v>
      </c>
      <c r="B2987">
        <v>21457723</v>
      </c>
      <c r="C2987">
        <v>2</v>
      </c>
      <c r="D2987" s="1" t="s">
        <v>1083</v>
      </c>
      <c r="E2987">
        <v>10</v>
      </c>
    </row>
    <row r="2988" spans="1:5" x14ac:dyDescent="0.2">
      <c r="A2988">
        <v>10019003</v>
      </c>
      <c r="B2988">
        <v>21457723</v>
      </c>
      <c r="C2988">
        <v>11</v>
      </c>
      <c r="D2988" s="1" t="s">
        <v>430</v>
      </c>
      <c r="E2988">
        <v>10</v>
      </c>
    </row>
    <row r="2989" spans="1:5" x14ac:dyDescent="0.2">
      <c r="A2989">
        <v>10019003</v>
      </c>
      <c r="B2989">
        <v>21457723</v>
      </c>
      <c r="C2989">
        <v>3</v>
      </c>
      <c r="D2989" s="1" t="s">
        <v>625</v>
      </c>
      <c r="E2989">
        <v>10</v>
      </c>
    </row>
    <row r="2990" spans="1:5" x14ac:dyDescent="0.2">
      <c r="A2990">
        <v>10019003</v>
      </c>
      <c r="B2990">
        <v>21457723</v>
      </c>
      <c r="C2990">
        <v>6</v>
      </c>
      <c r="D2990" s="1" t="s">
        <v>1386</v>
      </c>
      <c r="E2990">
        <v>10</v>
      </c>
    </row>
    <row r="2991" spans="1:5" x14ac:dyDescent="0.2">
      <c r="A2991">
        <v>10019003</v>
      </c>
      <c r="B2991">
        <v>21457723</v>
      </c>
      <c r="C2991">
        <v>16</v>
      </c>
      <c r="D2991" s="1" t="s">
        <v>787</v>
      </c>
      <c r="E2991">
        <v>10</v>
      </c>
    </row>
    <row r="2992" spans="1:5" x14ac:dyDescent="0.2">
      <c r="A2992">
        <v>10019003</v>
      </c>
      <c r="B2992">
        <v>21457723</v>
      </c>
      <c r="C2992">
        <v>17</v>
      </c>
      <c r="D2992" s="1" t="s">
        <v>1070</v>
      </c>
      <c r="E2992">
        <v>10</v>
      </c>
    </row>
    <row r="2993" spans="1:5" x14ac:dyDescent="0.2">
      <c r="A2993">
        <v>10019003</v>
      </c>
      <c r="B2993">
        <v>21457723</v>
      </c>
      <c r="C2993">
        <v>4</v>
      </c>
      <c r="D2993" s="1" t="s">
        <v>1223</v>
      </c>
      <c r="E2993">
        <v>10</v>
      </c>
    </row>
    <row r="2994" spans="1:5" x14ac:dyDescent="0.2">
      <c r="A2994">
        <v>10019003</v>
      </c>
      <c r="B2994">
        <v>21457723</v>
      </c>
      <c r="C2994">
        <v>18</v>
      </c>
      <c r="D2994" s="1" t="s">
        <v>607</v>
      </c>
      <c r="E2994">
        <v>10</v>
      </c>
    </row>
    <row r="2995" spans="1:5" x14ac:dyDescent="0.2">
      <c r="A2995">
        <v>10019003</v>
      </c>
      <c r="B2995">
        <v>21457723</v>
      </c>
      <c r="C2995">
        <v>20</v>
      </c>
      <c r="D2995" s="1" t="s">
        <v>1387</v>
      </c>
      <c r="E2995">
        <v>10</v>
      </c>
    </row>
    <row r="2996" spans="1:5" x14ac:dyDescent="0.2">
      <c r="A2996">
        <v>10019003</v>
      </c>
      <c r="B2996">
        <v>21457723</v>
      </c>
      <c r="C2996">
        <v>13</v>
      </c>
      <c r="D2996" s="1" t="s">
        <v>558</v>
      </c>
      <c r="E2996">
        <v>10</v>
      </c>
    </row>
    <row r="2997" spans="1:5" x14ac:dyDescent="0.2">
      <c r="A2997">
        <v>10019003</v>
      </c>
      <c r="B2997">
        <v>21457723</v>
      </c>
      <c r="C2997">
        <v>12</v>
      </c>
      <c r="D2997" s="1" t="s">
        <v>1078</v>
      </c>
      <c r="E2997">
        <v>10</v>
      </c>
    </row>
    <row r="2998" spans="1:5" x14ac:dyDescent="0.2">
      <c r="A2998">
        <v>10019003</v>
      </c>
      <c r="B2998">
        <v>21457723</v>
      </c>
      <c r="C2998">
        <v>19</v>
      </c>
      <c r="D2998" s="1" t="s">
        <v>1388</v>
      </c>
      <c r="E2998">
        <v>10</v>
      </c>
    </row>
    <row r="2999" spans="1:5" x14ac:dyDescent="0.2">
      <c r="A2999">
        <v>10019003</v>
      </c>
      <c r="B2999">
        <v>21457723</v>
      </c>
      <c r="C2999">
        <v>14</v>
      </c>
      <c r="D2999" s="1" t="s">
        <v>328</v>
      </c>
      <c r="E2999">
        <v>10</v>
      </c>
    </row>
    <row r="3000" spans="1:5" x14ac:dyDescent="0.2">
      <c r="A3000">
        <v>10019003</v>
      </c>
      <c r="B3000">
        <v>28003918</v>
      </c>
      <c r="C3000">
        <v>7</v>
      </c>
      <c r="D3000" s="1" t="s">
        <v>556</v>
      </c>
      <c r="E3000">
        <v>9</v>
      </c>
    </row>
    <row r="3001" spans="1:5" x14ac:dyDescent="0.2">
      <c r="A3001">
        <v>10019003</v>
      </c>
      <c r="B3001">
        <v>28003918</v>
      </c>
      <c r="C3001">
        <v>6</v>
      </c>
      <c r="D3001" s="1" t="s">
        <v>406</v>
      </c>
      <c r="E3001">
        <v>9</v>
      </c>
    </row>
    <row r="3002" spans="1:5" x14ac:dyDescent="0.2">
      <c r="A3002">
        <v>10019003</v>
      </c>
      <c r="B3002">
        <v>28003918</v>
      </c>
      <c r="C3002">
        <v>1</v>
      </c>
      <c r="D3002" s="1" t="s">
        <v>1389</v>
      </c>
      <c r="E3002">
        <v>9</v>
      </c>
    </row>
    <row r="3003" spans="1:5" x14ac:dyDescent="0.2">
      <c r="A3003">
        <v>10019003</v>
      </c>
      <c r="B3003">
        <v>28003918</v>
      </c>
      <c r="C3003">
        <v>4</v>
      </c>
      <c r="D3003" s="1" t="s">
        <v>259</v>
      </c>
      <c r="E3003">
        <v>9</v>
      </c>
    </row>
    <row r="3004" spans="1:5" x14ac:dyDescent="0.2">
      <c r="A3004">
        <v>10019003</v>
      </c>
      <c r="B3004">
        <v>28003918</v>
      </c>
      <c r="C3004">
        <v>3</v>
      </c>
      <c r="D3004" s="1" t="s">
        <v>296</v>
      </c>
      <c r="E3004">
        <v>9</v>
      </c>
    </row>
    <row r="3005" spans="1:5" x14ac:dyDescent="0.2">
      <c r="A3005">
        <v>10019003</v>
      </c>
      <c r="B3005">
        <v>28003918</v>
      </c>
      <c r="C3005">
        <v>2</v>
      </c>
      <c r="D3005" s="1" t="s">
        <v>384</v>
      </c>
      <c r="E3005">
        <v>9</v>
      </c>
    </row>
    <row r="3006" spans="1:5" x14ac:dyDescent="0.2">
      <c r="A3006">
        <v>10019003</v>
      </c>
      <c r="B3006">
        <v>28003918</v>
      </c>
      <c r="C3006">
        <v>5</v>
      </c>
      <c r="D3006" s="1" t="s">
        <v>1390</v>
      </c>
      <c r="E3006">
        <v>9</v>
      </c>
    </row>
    <row r="3007" spans="1:5" x14ac:dyDescent="0.2">
      <c r="A3007">
        <v>10019003</v>
      </c>
      <c r="B3007">
        <v>26529390</v>
      </c>
      <c r="C3007">
        <v>29</v>
      </c>
      <c r="D3007" s="1" t="s">
        <v>478</v>
      </c>
      <c r="E3007">
        <v>10</v>
      </c>
    </row>
    <row r="3008" spans="1:5" x14ac:dyDescent="0.2">
      <c r="A3008">
        <v>10019003</v>
      </c>
      <c r="B3008">
        <v>26529390</v>
      </c>
      <c r="C3008">
        <v>9</v>
      </c>
      <c r="D3008" s="1" t="s">
        <v>1391</v>
      </c>
      <c r="E3008">
        <v>10</v>
      </c>
    </row>
    <row r="3009" spans="1:5" x14ac:dyDescent="0.2">
      <c r="A3009">
        <v>10019003</v>
      </c>
      <c r="B3009">
        <v>26529390</v>
      </c>
      <c r="C3009">
        <v>7</v>
      </c>
      <c r="D3009" s="1" t="s">
        <v>422</v>
      </c>
      <c r="E3009">
        <v>10</v>
      </c>
    </row>
    <row r="3010" spans="1:5" x14ac:dyDescent="0.2">
      <c r="A3010">
        <v>10019003</v>
      </c>
      <c r="B3010">
        <v>26529390</v>
      </c>
      <c r="C3010">
        <v>19</v>
      </c>
      <c r="D3010" s="1" t="s">
        <v>1078</v>
      </c>
      <c r="E3010">
        <v>10</v>
      </c>
    </row>
    <row r="3011" spans="1:5" x14ac:dyDescent="0.2">
      <c r="A3011">
        <v>10019003</v>
      </c>
      <c r="B3011">
        <v>26529390</v>
      </c>
      <c r="C3011">
        <v>25</v>
      </c>
      <c r="D3011" s="1" t="s">
        <v>617</v>
      </c>
      <c r="E3011">
        <v>10</v>
      </c>
    </row>
    <row r="3012" spans="1:5" x14ac:dyDescent="0.2">
      <c r="A3012">
        <v>10019003</v>
      </c>
      <c r="B3012">
        <v>26529390</v>
      </c>
      <c r="C3012">
        <v>11</v>
      </c>
      <c r="D3012" s="1" t="s">
        <v>1090</v>
      </c>
      <c r="E3012">
        <v>10</v>
      </c>
    </row>
    <row r="3013" spans="1:5" x14ac:dyDescent="0.2">
      <c r="A3013">
        <v>10019003</v>
      </c>
      <c r="B3013">
        <v>26529390</v>
      </c>
      <c r="C3013">
        <v>12</v>
      </c>
      <c r="D3013" s="1" t="s">
        <v>558</v>
      </c>
      <c r="E3013">
        <v>10</v>
      </c>
    </row>
    <row r="3014" spans="1:5" x14ac:dyDescent="0.2">
      <c r="A3014">
        <v>10019003</v>
      </c>
      <c r="B3014">
        <v>26529390</v>
      </c>
      <c r="C3014">
        <v>5</v>
      </c>
      <c r="D3014" s="1" t="s">
        <v>423</v>
      </c>
      <c r="E3014">
        <v>10</v>
      </c>
    </row>
    <row r="3015" spans="1:5" x14ac:dyDescent="0.2">
      <c r="A3015">
        <v>10019003</v>
      </c>
      <c r="B3015">
        <v>26529390</v>
      </c>
      <c r="C3015">
        <v>1</v>
      </c>
      <c r="D3015" s="1" t="s">
        <v>1392</v>
      </c>
      <c r="E3015">
        <v>10</v>
      </c>
    </row>
    <row r="3016" spans="1:5" x14ac:dyDescent="0.2">
      <c r="A3016">
        <v>10019003</v>
      </c>
      <c r="B3016">
        <v>26529390</v>
      </c>
      <c r="C3016">
        <v>2</v>
      </c>
      <c r="D3016" s="1" t="s">
        <v>793</v>
      </c>
      <c r="E3016">
        <v>10</v>
      </c>
    </row>
    <row r="3017" spans="1:5" x14ac:dyDescent="0.2">
      <c r="A3017">
        <v>10019003</v>
      </c>
      <c r="B3017">
        <v>26529390</v>
      </c>
      <c r="C3017">
        <v>15</v>
      </c>
      <c r="D3017" s="1" t="s">
        <v>560</v>
      </c>
      <c r="E3017">
        <v>10</v>
      </c>
    </row>
    <row r="3018" spans="1:5" x14ac:dyDescent="0.2">
      <c r="A3018">
        <v>10019003</v>
      </c>
      <c r="B3018">
        <v>26529390</v>
      </c>
      <c r="C3018">
        <v>16</v>
      </c>
      <c r="D3018" s="1" t="s">
        <v>1387</v>
      </c>
      <c r="E3018">
        <v>10</v>
      </c>
    </row>
    <row r="3019" spans="1:5" x14ac:dyDescent="0.2">
      <c r="A3019">
        <v>10019003</v>
      </c>
      <c r="B3019">
        <v>26529390</v>
      </c>
      <c r="C3019">
        <v>17</v>
      </c>
      <c r="D3019" s="1" t="s">
        <v>1278</v>
      </c>
      <c r="E3019">
        <v>10</v>
      </c>
    </row>
    <row r="3020" spans="1:5" x14ac:dyDescent="0.2">
      <c r="A3020">
        <v>10019003</v>
      </c>
      <c r="B3020">
        <v>26529390</v>
      </c>
      <c r="C3020">
        <v>26</v>
      </c>
      <c r="D3020" s="1" t="s">
        <v>1393</v>
      </c>
      <c r="E3020">
        <v>10</v>
      </c>
    </row>
    <row r="3021" spans="1:5" x14ac:dyDescent="0.2">
      <c r="A3021">
        <v>10019003</v>
      </c>
      <c r="B3021">
        <v>26529390</v>
      </c>
      <c r="C3021">
        <v>3</v>
      </c>
      <c r="D3021" s="1" t="s">
        <v>897</v>
      </c>
      <c r="E3021">
        <v>10</v>
      </c>
    </row>
    <row r="3022" spans="1:5" x14ac:dyDescent="0.2">
      <c r="A3022">
        <v>10019003</v>
      </c>
      <c r="B3022">
        <v>26529390</v>
      </c>
      <c r="C3022">
        <v>22</v>
      </c>
      <c r="D3022" s="1" t="s">
        <v>673</v>
      </c>
      <c r="E3022">
        <v>10</v>
      </c>
    </row>
    <row r="3023" spans="1:5" x14ac:dyDescent="0.2">
      <c r="A3023">
        <v>10019003</v>
      </c>
      <c r="B3023">
        <v>26529390</v>
      </c>
      <c r="C3023">
        <v>20</v>
      </c>
      <c r="D3023" s="1" t="s">
        <v>329</v>
      </c>
      <c r="E3023">
        <v>10</v>
      </c>
    </row>
    <row r="3024" spans="1:5" x14ac:dyDescent="0.2">
      <c r="A3024">
        <v>10019003</v>
      </c>
      <c r="B3024">
        <v>26529390</v>
      </c>
      <c r="C3024">
        <v>18</v>
      </c>
      <c r="D3024" s="1" t="s">
        <v>1394</v>
      </c>
      <c r="E3024">
        <v>10</v>
      </c>
    </row>
    <row r="3025" spans="1:5" x14ac:dyDescent="0.2">
      <c r="A3025">
        <v>10019003</v>
      </c>
      <c r="B3025">
        <v>26529390</v>
      </c>
      <c r="C3025">
        <v>27</v>
      </c>
      <c r="D3025" s="1" t="s">
        <v>1034</v>
      </c>
      <c r="E3025">
        <v>10</v>
      </c>
    </row>
    <row r="3026" spans="1:5" x14ac:dyDescent="0.2">
      <c r="A3026">
        <v>10019003</v>
      </c>
      <c r="B3026">
        <v>26529390</v>
      </c>
      <c r="C3026">
        <v>13</v>
      </c>
      <c r="D3026" s="1" t="s">
        <v>1395</v>
      </c>
      <c r="E3026">
        <v>10</v>
      </c>
    </row>
    <row r="3027" spans="1:5" x14ac:dyDescent="0.2">
      <c r="A3027">
        <v>10019003</v>
      </c>
      <c r="B3027">
        <v>26529390</v>
      </c>
      <c r="C3027">
        <v>28</v>
      </c>
      <c r="D3027" s="1" t="s">
        <v>607</v>
      </c>
      <c r="E3027">
        <v>10</v>
      </c>
    </row>
    <row r="3028" spans="1:5" x14ac:dyDescent="0.2">
      <c r="A3028">
        <v>10019003</v>
      </c>
      <c r="B3028">
        <v>26529390</v>
      </c>
      <c r="C3028">
        <v>4</v>
      </c>
      <c r="D3028" s="1" t="s">
        <v>735</v>
      </c>
      <c r="E3028">
        <v>10</v>
      </c>
    </row>
    <row r="3029" spans="1:5" x14ac:dyDescent="0.2">
      <c r="A3029">
        <v>10019003</v>
      </c>
      <c r="B3029">
        <v>26529390</v>
      </c>
      <c r="C3029">
        <v>24</v>
      </c>
      <c r="D3029" s="1" t="s">
        <v>563</v>
      </c>
      <c r="E3029">
        <v>10</v>
      </c>
    </row>
    <row r="3030" spans="1:5" x14ac:dyDescent="0.2">
      <c r="A3030">
        <v>10019003</v>
      </c>
      <c r="B3030">
        <v>26529390</v>
      </c>
      <c r="C3030">
        <v>6</v>
      </c>
      <c r="D3030" s="1" t="s">
        <v>1396</v>
      </c>
      <c r="E3030">
        <v>10</v>
      </c>
    </row>
    <row r="3031" spans="1:5" x14ac:dyDescent="0.2">
      <c r="A3031">
        <v>10019003</v>
      </c>
      <c r="B3031">
        <v>26529390</v>
      </c>
      <c r="C3031">
        <v>23</v>
      </c>
      <c r="D3031" s="1" t="s">
        <v>430</v>
      </c>
      <c r="E3031">
        <v>10</v>
      </c>
    </row>
    <row r="3032" spans="1:5" x14ac:dyDescent="0.2">
      <c r="A3032">
        <v>10019003</v>
      </c>
      <c r="B3032">
        <v>26529390</v>
      </c>
      <c r="C3032">
        <v>10</v>
      </c>
      <c r="D3032" s="1" t="s">
        <v>927</v>
      </c>
      <c r="E3032">
        <v>10</v>
      </c>
    </row>
    <row r="3033" spans="1:5" x14ac:dyDescent="0.2">
      <c r="A3033">
        <v>10019003</v>
      </c>
      <c r="B3033">
        <v>26529390</v>
      </c>
      <c r="C3033">
        <v>14</v>
      </c>
      <c r="D3033" s="1" t="s">
        <v>328</v>
      </c>
      <c r="E3033">
        <v>10</v>
      </c>
    </row>
    <row r="3034" spans="1:5" x14ac:dyDescent="0.2">
      <c r="A3034">
        <v>10019003</v>
      </c>
      <c r="B3034">
        <v>26529390</v>
      </c>
      <c r="C3034">
        <v>21</v>
      </c>
      <c r="D3034" s="1" t="s">
        <v>1070</v>
      </c>
      <c r="E3034">
        <v>10</v>
      </c>
    </row>
    <row r="3035" spans="1:5" x14ac:dyDescent="0.2">
      <c r="A3035">
        <v>10019003</v>
      </c>
      <c r="B3035">
        <v>26529390</v>
      </c>
      <c r="C3035">
        <v>8</v>
      </c>
      <c r="D3035" s="1" t="s">
        <v>929</v>
      </c>
      <c r="E3035">
        <v>10</v>
      </c>
    </row>
    <row r="3036" spans="1:5" x14ac:dyDescent="0.2">
      <c r="A3036">
        <v>10019003</v>
      </c>
      <c r="B3036">
        <v>26226543</v>
      </c>
      <c r="C3036">
        <v>4</v>
      </c>
      <c r="D3036" s="1" t="s">
        <v>423</v>
      </c>
      <c r="E3036">
        <v>10</v>
      </c>
    </row>
    <row r="3037" spans="1:5" x14ac:dyDescent="0.2">
      <c r="A3037">
        <v>10019003</v>
      </c>
      <c r="B3037">
        <v>26226543</v>
      </c>
      <c r="C3037">
        <v>15</v>
      </c>
      <c r="D3037" s="1" t="s">
        <v>787</v>
      </c>
      <c r="E3037">
        <v>10</v>
      </c>
    </row>
    <row r="3038" spans="1:5" x14ac:dyDescent="0.2">
      <c r="A3038">
        <v>10019003</v>
      </c>
      <c r="B3038">
        <v>26226543</v>
      </c>
      <c r="C3038">
        <v>25</v>
      </c>
      <c r="D3038" s="1" t="s">
        <v>1394</v>
      </c>
      <c r="E3038">
        <v>10</v>
      </c>
    </row>
    <row r="3039" spans="1:5" x14ac:dyDescent="0.2">
      <c r="A3039">
        <v>10019003</v>
      </c>
      <c r="B3039">
        <v>26226543</v>
      </c>
      <c r="C3039">
        <v>14</v>
      </c>
      <c r="D3039" s="1" t="s">
        <v>607</v>
      </c>
      <c r="E3039">
        <v>10</v>
      </c>
    </row>
    <row r="3040" spans="1:5" x14ac:dyDescent="0.2">
      <c r="A3040">
        <v>10019003</v>
      </c>
      <c r="B3040">
        <v>26226543</v>
      </c>
      <c r="C3040">
        <v>10</v>
      </c>
      <c r="D3040" s="1" t="s">
        <v>328</v>
      </c>
      <c r="E3040">
        <v>10</v>
      </c>
    </row>
    <row r="3041" spans="1:5" x14ac:dyDescent="0.2">
      <c r="A3041">
        <v>10019003</v>
      </c>
      <c r="B3041">
        <v>26226543</v>
      </c>
      <c r="C3041">
        <v>23</v>
      </c>
      <c r="D3041" s="1" t="s">
        <v>1070</v>
      </c>
      <c r="E3041">
        <v>10</v>
      </c>
    </row>
    <row r="3042" spans="1:5" x14ac:dyDescent="0.2">
      <c r="A3042">
        <v>10019003</v>
      </c>
      <c r="B3042">
        <v>26226543</v>
      </c>
      <c r="C3042">
        <v>16</v>
      </c>
      <c r="D3042" s="1" t="s">
        <v>430</v>
      </c>
      <c r="E3042">
        <v>10</v>
      </c>
    </row>
    <row r="3043" spans="1:5" x14ac:dyDescent="0.2">
      <c r="A3043">
        <v>10019003</v>
      </c>
      <c r="B3043">
        <v>26226543</v>
      </c>
      <c r="C3043">
        <v>11</v>
      </c>
      <c r="D3043" s="1" t="s">
        <v>309</v>
      </c>
      <c r="E3043">
        <v>10</v>
      </c>
    </row>
    <row r="3044" spans="1:5" x14ac:dyDescent="0.2">
      <c r="A3044">
        <v>10019003</v>
      </c>
      <c r="B3044">
        <v>26226543</v>
      </c>
      <c r="C3044">
        <v>22</v>
      </c>
      <c r="D3044" s="1" t="s">
        <v>684</v>
      </c>
      <c r="E3044">
        <v>10</v>
      </c>
    </row>
    <row r="3045" spans="1:5" x14ac:dyDescent="0.2">
      <c r="A3045">
        <v>10019003</v>
      </c>
      <c r="B3045">
        <v>26226543</v>
      </c>
      <c r="C3045">
        <v>13</v>
      </c>
      <c r="D3045" s="1" t="s">
        <v>673</v>
      </c>
      <c r="E3045">
        <v>10</v>
      </c>
    </row>
    <row r="3046" spans="1:5" x14ac:dyDescent="0.2">
      <c r="A3046">
        <v>10019003</v>
      </c>
      <c r="B3046">
        <v>26226543</v>
      </c>
      <c r="C3046">
        <v>19</v>
      </c>
      <c r="D3046" s="1" t="s">
        <v>1397</v>
      </c>
      <c r="E3046">
        <v>10</v>
      </c>
    </row>
    <row r="3047" spans="1:5" x14ac:dyDescent="0.2">
      <c r="A3047">
        <v>10019003</v>
      </c>
      <c r="B3047">
        <v>26226543</v>
      </c>
      <c r="C3047">
        <v>12</v>
      </c>
      <c r="D3047" s="1" t="s">
        <v>1398</v>
      </c>
      <c r="E3047">
        <v>10</v>
      </c>
    </row>
    <row r="3048" spans="1:5" x14ac:dyDescent="0.2">
      <c r="A3048">
        <v>10019003</v>
      </c>
      <c r="B3048">
        <v>26226543</v>
      </c>
      <c r="C3048">
        <v>6</v>
      </c>
      <c r="D3048" s="1" t="s">
        <v>1393</v>
      </c>
      <c r="E3048">
        <v>10</v>
      </c>
    </row>
    <row r="3049" spans="1:5" x14ac:dyDescent="0.2">
      <c r="A3049">
        <v>10019003</v>
      </c>
      <c r="B3049">
        <v>26226543</v>
      </c>
      <c r="C3049">
        <v>21</v>
      </c>
      <c r="D3049" s="1" t="s">
        <v>1399</v>
      </c>
      <c r="E3049">
        <v>10</v>
      </c>
    </row>
    <row r="3050" spans="1:5" x14ac:dyDescent="0.2">
      <c r="A3050">
        <v>10019003</v>
      </c>
      <c r="B3050">
        <v>26226543</v>
      </c>
      <c r="C3050">
        <v>3</v>
      </c>
      <c r="D3050" s="1" t="s">
        <v>617</v>
      </c>
      <c r="E3050">
        <v>10</v>
      </c>
    </row>
    <row r="3051" spans="1:5" x14ac:dyDescent="0.2">
      <c r="A3051">
        <v>10019003</v>
      </c>
      <c r="B3051">
        <v>26226543</v>
      </c>
      <c r="C3051">
        <v>18</v>
      </c>
      <c r="D3051" s="1" t="s">
        <v>438</v>
      </c>
      <c r="E3051">
        <v>10</v>
      </c>
    </row>
    <row r="3052" spans="1:5" x14ac:dyDescent="0.2">
      <c r="A3052">
        <v>10019003</v>
      </c>
      <c r="B3052">
        <v>26226543</v>
      </c>
      <c r="C3052">
        <v>9</v>
      </c>
      <c r="D3052" s="1" t="s">
        <v>560</v>
      </c>
      <c r="E3052">
        <v>10</v>
      </c>
    </row>
    <row r="3053" spans="1:5" x14ac:dyDescent="0.2">
      <c r="A3053">
        <v>10019003</v>
      </c>
      <c r="B3053">
        <v>26226543</v>
      </c>
      <c r="C3053">
        <v>1</v>
      </c>
      <c r="D3053" s="1" t="s">
        <v>1078</v>
      </c>
      <c r="E3053">
        <v>10</v>
      </c>
    </row>
    <row r="3054" spans="1:5" x14ac:dyDescent="0.2">
      <c r="A3054">
        <v>10019003</v>
      </c>
      <c r="B3054">
        <v>26226543</v>
      </c>
      <c r="C3054">
        <v>20</v>
      </c>
      <c r="D3054" s="1" t="s">
        <v>1400</v>
      </c>
      <c r="E3054">
        <v>10</v>
      </c>
    </row>
    <row r="3055" spans="1:5" x14ac:dyDescent="0.2">
      <c r="A3055">
        <v>10019003</v>
      </c>
      <c r="B3055">
        <v>26226543</v>
      </c>
      <c r="C3055">
        <v>2</v>
      </c>
      <c r="D3055" s="1" t="s">
        <v>793</v>
      </c>
      <c r="E3055">
        <v>10</v>
      </c>
    </row>
    <row r="3056" spans="1:5" x14ac:dyDescent="0.2">
      <c r="A3056">
        <v>10019003</v>
      </c>
      <c r="B3056">
        <v>26226543</v>
      </c>
      <c r="C3056">
        <v>17</v>
      </c>
      <c r="D3056" s="1" t="s">
        <v>312</v>
      </c>
      <c r="E3056">
        <v>10</v>
      </c>
    </row>
    <row r="3057" spans="1:5" x14ac:dyDescent="0.2">
      <c r="A3057">
        <v>10019003</v>
      </c>
      <c r="B3057">
        <v>26226543</v>
      </c>
      <c r="C3057">
        <v>24</v>
      </c>
      <c r="D3057" s="1" t="s">
        <v>1387</v>
      </c>
      <c r="E3057">
        <v>10</v>
      </c>
    </row>
    <row r="3058" spans="1:5" x14ac:dyDescent="0.2">
      <c r="A3058">
        <v>10019003</v>
      </c>
      <c r="B3058">
        <v>26226543</v>
      </c>
      <c r="C3058">
        <v>7</v>
      </c>
      <c r="D3058" s="1" t="s">
        <v>1395</v>
      </c>
      <c r="E3058">
        <v>10</v>
      </c>
    </row>
    <row r="3059" spans="1:5" x14ac:dyDescent="0.2">
      <c r="A3059">
        <v>10019003</v>
      </c>
      <c r="B3059">
        <v>26226543</v>
      </c>
      <c r="C3059">
        <v>5</v>
      </c>
      <c r="D3059" s="1" t="s">
        <v>897</v>
      </c>
      <c r="E3059">
        <v>10</v>
      </c>
    </row>
    <row r="3060" spans="1:5" x14ac:dyDescent="0.2">
      <c r="A3060">
        <v>10019003</v>
      </c>
      <c r="B3060">
        <v>26226543</v>
      </c>
      <c r="C3060">
        <v>8</v>
      </c>
      <c r="D3060" s="1" t="s">
        <v>558</v>
      </c>
      <c r="E3060">
        <v>10</v>
      </c>
    </row>
    <row r="3061" spans="1:5" x14ac:dyDescent="0.2">
      <c r="A3061">
        <v>10019003</v>
      </c>
      <c r="B3061">
        <v>29279905</v>
      </c>
      <c r="C3061">
        <v>24</v>
      </c>
      <c r="D3061" s="1" t="s">
        <v>1401</v>
      </c>
      <c r="E3061">
        <v>10</v>
      </c>
    </row>
    <row r="3062" spans="1:5" x14ac:dyDescent="0.2">
      <c r="A3062">
        <v>10019003</v>
      </c>
      <c r="B3062">
        <v>29279905</v>
      </c>
      <c r="C3062">
        <v>4</v>
      </c>
      <c r="D3062" s="1" t="s">
        <v>1382</v>
      </c>
      <c r="E3062">
        <v>10</v>
      </c>
    </row>
    <row r="3063" spans="1:5" x14ac:dyDescent="0.2">
      <c r="A3063">
        <v>10019003</v>
      </c>
      <c r="B3063">
        <v>29279905</v>
      </c>
      <c r="C3063">
        <v>19</v>
      </c>
      <c r="D3063" s="1" t="s">
        <v>430</v>
      </c>
      <c r="E3063">
        <v>10</v>
      </c>
    </row>
    <row r="3064" spans="1:5" x14ac:dyDescent="0.2">
      <c r="A3064">
        <v>10019003</v>
      </c>
      <c r="B3064">
        <v>29279905</v>
      </c>
      <c r="C3064">
        <v>26</v>
      </c>
      <c r="D3064" s="1" t="s">
        <v>1095</v>
      </c>
      <c r="E3064">
        <v>10</v>
      </c>
    </row>
    <row r="3065" spans="1:5" x14ac:dyDescent="0.2">
      <c r="A3065">
        <v>10019003</v>
      </c>
      <c r="B3065">
        <v>29279905</v>
      </c>
      <c r="C3065">
        <v>22</v>
      </c>
      <c r="D3065" s="1" t="s">
        <v>1402</v>
      </c>
      <c r="E3065">
        <v>10</v>
      </c>
    </row>
    <row r="3066" spans="1:5" x14ac:dyDescent="0.2">
      <c r="A3066">
        <v>10019003</v>
      </c>
      <c r="B3066">
        <v>29279905</v>
      </c>
      <c r="C3066">
        <v>23</v>
      </c>
      <c r="D3066" s="1" t="s">
        <v>1094</v>
      </c>
      <c r="E3066">
        <v>10</v>
      </c>
    </row>
    <row r="3067" spans="1:5" x14ac:dyDescent="0.2">
      <c r="A3067">
        <v>10019003</v>
      </c>
      <c r="B3067">
        <v>29279905</v>
      </c>
      <c r="C3067">
        <v>13</v>
      </c>
      <c r="D3067" s="1" t="s">
        <v>328</v>
      </c>
      <c r="E3067">
        <v>10</v>
      </c>
    </row>
    <row r="3068" spans="1:5" x14ac:dyDescent="0.2">
      <c r="A3068">
        <v>10019003</v>
      </c>
      <c r="B3068">
        <v>29279905</v>
      </c>
      <c r="C3068">
        <v>1</v>
      </c>
      <c r="D3068" s="1" t="s">
        <v>564</v>
      </c>
      <c r="E3068">
        <v>10</v>
      </c>
    </row>
    <row r="3069" spans="1:5" x14ac:dyDescent="0.2">
      <c r="A3069">
        <v>10019003</v>
      </c>
      <c r="B3069">
        <v>29279905</v>
      </c>
      <c r="C3069">
        <v>6</v>
      </c>
      <c r="D3069" s="1" t="s">
        <v>334</v>
      </c>
      <c r="E3069">
        <v>10</v>
      </c>
    </row>
    <row r="3070" spans="1:5" x14ac:dyDescent="0.2">
      <c r="A3070">
        <v>10019003</v>
      </c>
      <c r="B3070">
        <v>29279905</v>
      </c>
      <c r="C3070">
        <v>14</v>
      </c>
      <c r="D3070" s="1" t="s">
        <v>558</v>
      </c>
      <c r="E3070">
        <v>10</v>
      </c>
    </row>
    <row r="3071" spans="1:5" x14ac:dyDescent="0.2">
      <c r="A3071">
        <v>10019003</v>
      </c>
      <c r="B3071">
        <v>29279905</v>
      </c>
      <c r="C3071">
        <v>15</v>
      </c>
      <c r="D3071" s="1" t="s">
        <v>1070</v>
      </c>
      <c r="E3071">
        <v>10</v>
      </c>
    </row>
    <row r="3072" spans="1:5" x14ac:dyDescent="0.2">
      <c r="A3072">
        <v>10019003</v>
      </c>
      <c r="B3072">
        <v>29279905</v>
      </c>
      <c r="C3072">
        <v>2</v>
      </c>
      <c r="D3072" s="1" t="s">
        <v>559</v>
      </c>
      <c r="E3072">
        <v>10</v>
      </c>
    </row>
    <row r="3073" spans="1:5" x14ac:dyDescent="0.2">
      <c r="A3073">
        <v>10019003</v>
      </c>
      <c r="B3073">
        <v>29279905</v>
      </c>
      <c r="C3073">
        <v>5</v>
      </c>
      <c r="D3073" s="1" t="s">
        <v>1403</v>
      </c>
      <c r="E3073">
        <v>10</v>
      </c>
    </row>
    <row r="3074" spans="1:5" x14ac:dyDescent="0.2">
      <c r="A3074">
        <v>10019003</v>
      </c>
      <c r="B3074">
        <v>29279905</v>
      </c>
      <c r="C3074">
        <v>20</v>
      </c>
      <c r="D3074" s="1" t="s">
        <v>607</v>
      </c>
      <c r="E3074">
        <v>10</v>
      </c>
    </row>
    <row r="3075" spans="1:5" x14ac:dyDescent="0.2">
      <c r="A3075">
        <v>10019003</v>
      </c>
      <c r="B3075">
        <v>29279905</v>
      </c>
      <c r="C3075">
        <v>8</v>
      </c>
      <c r="D3075" s="1" t="s">
        <v>617</v>
      </c>
      <c r="E3075">
        <v>10</v>
      </c>
    </row>
    <row r="3076" spans="1:5" x14ac:dyDescent="0.2">
      <c r="A3076">
        <v>10019003</v>
      </c>
      <c r="B3076">
        <v>29279905</v>
      </c>
      <c r="C3076">
        <v>7</v>
      </c>
      <c r="D3076" s="1" t="s">
        <v>374</v>
      </c>
      <c r="E3076">
        <v>10</v>
      </c>
    </row>
    <row r="3077" spans="1:5" x14ac:dyDescent="0.2">
      <c r="A3077">
        <v>10019003</v>
      </c>
      <c r="B3077">
        <v>29279905</v>
      </c>
      <c r="C3077">
        <v>9</v>
      </c>
      <c r="D3077" s="1" t="s">
        <v>421</v>
      </c>
      <c r="E3077">
        <v>10</v>
      </c>
    </row>
    <row r="3078" spans="1:5" x14ac:dyDescent="0.2">
      <c r="A3078">
        <v>10019003</v>
      </c>
      <c r="B3078">
        <v>29279905</v>
      </c>
      <c r="C3078">
        <v>10</v>
      </c>
      <c r="D3078" s="1" t="s">
        <v>560</v>
      </c>
      <c r="E3078">
        <v>10</v>
      </c>
    </row>
    <row r="3079" spans="1:5" x14ac:dyDescent="0.2">
      <c r="A3079">
        <v>10019003</v>
      </c>
      <c r="B3079">
        <v>29279905</v>
      </c>
      <c r="C3079">
        <v>21</v>
      </c>
      <c r="D3079" s="1" t="s">
        <v>1404</v>
      </c>
      <c r="E3079">
        <v>10</v>
      </c>
    </row>
    <row r="3080" spans="1:5" x14ac:dyDescent="0.2">
      <c r="A3080">
        <v>10019003</v>
      </c>
      <c r="B3080">
        <v>29279905</v>
      </c>
      <c r="C3080">
        <v>17</v>
      </c>
      <c r="D3080" s="1" t="s">
        <v>1079</v>
      </c>
      <c r="E3080">
        <v>10</v>
      </c>
    </row>
    <row r="3081" spans="1:5" x14ac:dyDescent="0.2">
      <c r="A3081">
        <v>10019003</v>
      </c>
      <c r="B3081">
        <v>29279905</v>
      </c>
      <c r="C3081">
        <v>25</v>
      </c>
      <c r="D3081" s="1" t="s">
        <v>563</v>
      </c>
      <c r="E3081">
        <v>10</v>
      </c>
    </row>
    <row r="3082" spans="1:5" x14ac:dyDescent="0.2">
      <c r="A3082">
        <v>10019003</v>
      </c>
      <c r="B3082">
        <v>29279905</v>
      </c>
      <c r="C3082">
        <v>12</v>
      </c>
      <c r="D3082" s="1" t="s">
        <v>332</v>
      </c>
      <c r="E3082">
        <v>10</v>
      </c>
    </row>
    <row r="3083" spans="1:5" x14ac:dyDescent="0.2">
      <c r="A3083">
        <v>10019003</v>
      </c>
      <c r="B3083">
        <v>29279905</v>
      </c>
      <c r="C3083">
        <v>16</v>
      </c>
      <c r="D3083" s="1" t="s">
        <v>379</v>
      </c>
      <c r="E3083">
        <v>10</v>
      </c>
    </row>
    <row r="3084" spans="1:5" x14ac:dyDescent="0.2">
      <c r="A3084">
        <v>10019003</v>
      </c>
      <c r="B3084">
        <v>29279905</v>
      </c>
      <c r="C3084">
        <v>11</v>
      </c>
      <c r="D3084" s="1" t="s">
        <v>435</v>
      </c>
      <c r="E3084">
        <v>10</v>
      </c>
    </row>
    <row r="3085" spans="1:5" x14ac:dyDescent="0.2">
      <c r="A3085">
        <v>10019003</v>
      </c>
      <c r="B3085">
        <v>29279905</v>
      </c>
      <c r="C3085">
        <v>3</v>
      </c>
      <c r="D3085" s="1" t="s">
        <v>423</v>
      </c>
      <c r="E3085">
        <v>10</v>
      </c>
    </row>
    <row r="3086" spans="1:5" x14ac:dyDescent="0.2">
      <c r="A3086">
        <v>10019003</v>
      </c>
      <c r="B3086">
        <v>29279905</v>
      </c>
      <c r="C3086">
        <v>18</v>
      </c>
      <c r="D3086" s="1" t="s">
        <v>519</v>
      </c>
      <c r="E3086">
        <v>10</v>
      </c>
    </row>
    <row r="3087" spans="1:5" x14ac:dyDescent="0.2">
      <c r="A3087">
        <v>10019003</v>
      </c>
      <c r="B3087">
        <v>25508812</v>
      </c>
      <c r="C3087">
        <v>8</v>
      </c>
      <c r="D3087" s="1" t="s">
        <v>1392</v>
      </c>
      <c r="E3087">
        <v>10</v>
      </c>
    </row>
    <row r="3088" spans="1:5" x14ac:dyDescent="0.2">
      <c r="A3088">
        <v>10019003</v>
      </c>
      <c r="B3088">
        <v>25508812</v>
      </c>
      <c r="C3088">
        <v>10</v>
      </c>
      <c r="D3088" s="1" t="s">
        <v>328</v>
      </c>
      <c r="E3088">
        <v>10</v>
      </c>
    </row>
    <row r="3089" spans="1:5" x14ac:dyDescent="0.2">
      <c r="A3089">
        <v>10019003</v>
      </c>
      <c r="B3089">
        <v>25508812</v>
      </c>
      <c r="C3089">
        <v>4</v>
      </c>
      <c r="D3089" s="1" t="s">
        <v>929</v>
      </c>
      <c r="E3089">
        <v>10</v>
      </c>
    </row>
    <row r="3090" spans="1:5" x14ac:dyDescent="0.2">
      <c r="A3090">
        <v>10019003</v>
      </c>
      <c r="B3090">
        <v>25508812</v>
      </c>
      <c r="C3090">
        <v>1</v>
      </c>
      <c r="D3090" s="1" t="s">
        <v>332</v>
      </c>
      <c r="E3090">
        <v>10</v>
      </c>
    </row>
    <row r="3091" spans="1:5" x14ac:dyDescent="0.2">
      <c r="A3091">
        <v>10019003</v>
      </c>
      <c r="B3091">
        <v>25508812</v>
      </c>
      <c r="C3091">
        <v>3</v>
      </c>
      <c r="D3091" s="1" t="s">
        <v>422</v>
      </c>
      <c r="E3091">
        <v>10</v>
      </c>
    </row>
    <row r="3092" spans="1:5" x14ac:dyDescent="0.2">
      <c r="A3092">
        <v>10019003</v>
      </c>
      <c r="B3092">
        <v>25508812</v>
      </c>
      <c r="C3092">
        <v>2</v>
      </c>
      <c r="D3092" s="1" t="s">
        <v>432</v>
      </c>
      <c r="E3092">
        <v>10</v>
      </c>
    </row>
    <row r="3093" spans="1:5" x14ac:dyDescent="0.2">
      <c r="A3093">
        <v>10019003</v>
      </c>
      <c r="B3093">
        <v>25508812</v>
      </c>
      <c r="C3093">
        <v>5</v>
      </c>
      <c r="D3093" s="1" t="s">
        <v>430</v>
      </c>
      <c r="E3093">
        <v>10</v>
      </c>
    </row>
    <row r="3094" spans="1:5" x14ac:dyDescent="0.2">
      <c r="A3094">
        <v>10019003</v>
      </c>
      <c r="B3094">
        <v>25508812</v>
      </c>
      <c r="C3094">
        <v>6</v>
      </c>
      <c r="D3094" s="1" t="s">
        <v>1395</v>
      </c>
      <c r="E3094">
        <v>10</v>
      </c>
    </row>
    <row r="3095" spans="1:5" x14ac:dyDescent="0.2">
      <c r="A3095">
        <v>10019003</v>
      </c>
      <c r="B3095">
        <v>25508812</v>
      </c>
      <c r="C3095">
        <v>15</v>
      </c>
      <c r="D3095" s="1" t="s">
        <v>673</v>
      </c>
      <c r="E3095">
        <v>10</v>
      </c>
    </row>
    <row r="3096" spans="1:5" x14ac:dyDescent="0.2">
      <c r="A3096">
        <v>10019003</v>
      </c>
      <c r="B3096">
        <v>25508812</v>
      </c>
      <c r="C3096">
        <v>11</v>
      </c>
      <c r="D3096" s="1" t="s">
        <v>558</v>
      </c>
      <c r="E3096">
        <v>10</v>
      </c>
    </row>
    <row r="3097" spans="1:5" x14ac:dyDescent="0.2">
      <c r="A3097">
        <v>10019003</v>
      </c>
      <c r="B3097">
        <v>25508812</v>
      </c>
      <c r="C3097">
        <v>14</v>
      </c>
      <c r="D3097" s="1" t="s">
        <v>1070</v>
      </c>
      <c r="E3097">
        <v>10</v>
      </c>
    </row>
    <row r="3098" spans="1:5" x14ac:dyDescent="0.2">
      <c r="A3098">
        <v>10019003</v>
      </c>
      <c r="B3098">
        <v>25508812</v>
      </c>
      <c r="C3098">
        <v>13</v>
      </c>
      <c r="D3098" s="1" t="s">
        <v>560</v>
      </c>
      <c r="E3098">
        <v>10</v>
      </c>
    </row>
    <row r="3099" spans="1:5" x14ac:dyDescent="0.2">
      <c r="A3099">
        <v>10019003</v>
      </c>
      <c r="B3099">
        <v>25508812</v>
      </c>
      <c r="C3099">
        <v>7</v>
      </c>
      <c r="D3099" s="1" t="s">
        <v>1387</v>
      </c>
      <c r="E3099">
        <v>10</v>
      </c>
    </row>
    <row r="3100" spans="1:5" x14ac:dyDescent="0.2">
      <c r="A3100">
        <v>10019003</v>
      </c>
      <c r="B3100">
        <v>25508812</v>
      </c>
      <c r="C3100">
        <v>9</v>
      </c>
      <c r="D3100" s="1" t="s">
        <v>329</v>
      </c>
      <c r="E3100">
        <v>10</v>
      </c>
    </row>
    <row r="3101" spans="1:5" x14ac:dyDescent="0.2">
      <c r="A3101">
        <v>10019003</v>
      </c>
      <c r="B3101">
        <v>25508812</v>
      </c>
      <c r="C3101">
        <v>12</v>
      </c>
      <c r="D3101" s="1" t="s">
        <v>563</v>
      </c>
      <c r="E3101">
        <v>10</v>
      </c>
    </row>
    <row r="3102" spans="1:5" x14ac:dyDescent="0.2">
      <c r="A3102">
        <v>10019003</v>
      </c>
      <c r="B3102">
        <v>26703331</v>
      </c>
      <c r="C3102">
        <v>1</v>
      </c>
      <c r="D3102" s="1" t="s">
        <v>793</v>
      </c>
      <c r="E3102">
        <v>10</v>
      </c>
    </row>
    <row r="3103" spans="1:5" x14ac:dyDescent="0.2">
      <c r="A3103">
        <v>10019003</v>
      </c>
      <c r="B3103">
        <v>26703331</v>
      </c>
      <c r="C3103">
        <v>18</v>
      </c>
      <c r="D3103" s="1" t="s">
        <v>328</v>
      </c>
      <c r="E3103">
        <v>10</v>
      </c>
    </row>
    <row r="3104" spans="1:5" x14ac:dyDescent="0.2">
      <c r="A3104">
        <v>10019003</v>
      </c>
      <c r="B3104">
        <v>26703331</v>
      </c>
      <c r="C3104">
        <v>17</v>
      </c>
      <c r="D3104" s="1" t="s">
        <v>558</v>
      </c>
      <c r="E3104">
        <v>10</v>
      </c>
    </row>
    <row r="3105" spans="1:5" x14ac:dyDescent="0.2">
      <c r="A3105">
        <v>10019003</v>
      </c>
      <c r="B3105">
        <v>26703331</v>
      </c>
      <c r="C3105">
        <v>15</v>
      </c>
      <c r="D3105" s="1" t="s">
        <v>560</v>
      </c>
      <c r="E3105">
        <v>10</v>
      </c>
    </row>
    <row r="3106" spans="1:5" x14ac:dyDescent="0.2">
      <c r="A3106">
        <v>10019003</v>
      </c>
      <c r="B3106">
        <v>26703331</v>
      </c>
      <c r="C3106">
        <v>20</v>
      </c>
      <c r="D3106" s="1" t="s">
        <v>607</v>
      </c>
      <c r="E3106">
        <v>10</v>
      </c>
    </row>
    <row r="3107" spans="1:5" x14ac:dyDescent="0.2">
      <c r="A3107">
        <v>10019003</v>
      </c>
      <c r="B3107">
        <v>26703331</v>
      </c>
      <c r="C3107">
        <v>13</v>
      </c>
      <c r="D3107" s="1" t="s">
        <v>1090</v>
      </c>
      <c r="E3107">
        <v>10</v>
      </c>
    </row>
    <row r="3108" spans="1:5" x14ac:dyDescent="0.2">
      <c r="A3108">
        <v>10019003</v>
      </c>
      <c r="B3108">
        <v>26703331</v>
      </c>
      <c r="C3108">
        <v>6</v>
      </c>
      <c r="D3108" s="1" t="s">
        <v>617</v>
      </c>
      <c r="E3108">
        <v>10</v>
      </c>
    </row>
    <row r="3109" spans="1:5" x14ac:dyDescent="0.2">
      <c r="A3109">
        <v>10019003</v>
      </c>
      <c r="B3109">
        <v>26703331</v>
      </c>
      <c r="C3109">
        <v>3</v>
      </c>
      <c r="D3109" s="1" t="s">
        <v>735</v>
      </c>
      <c r="E3109">
        <v>10</v>
      </c>
    </row>
    <row r="3110" spans="1:5" x14ac:dyDescent="0.2">
      <c r="A3110">
        <v>10019003</v>
      </c>
      <c r="B3110">
        <v>26703331</v>
      </c>
      <c r="C3110">
        <v>16</v>
      </c>
      <c r="D3110" s="1" t="s">
        <v>329</v>
      </c>
      <c r="E3110">
        <v>10</v>
      </c>
    </row>
    <row r="3111" spans="1:5" x14ac:dyDescent="0.2">
      <c r="A3111">
        <v>10019003</v>
      </c>
      <c r="B3111">
        <v>26703331</v>
      </c>
      <c r="C3111">
        <v>22</v>
      </c>
      <c r="D3111" s="1" t="s">
        <v>478</v>
      </c>
      <c r="E3111">
        <v>10</v>
      </c>
    </row>
    <row r="3112" spans="1:5" x14ac:dyDescent="0.2">
      <c r="A3112">
        <v>10019003</v>
      </c>
      <c r="B3112">
        <v>26703331</v>
      </c>
      <c r="C3112">
        <v>11</v>
      </c>
      <c r="D3112" s="1" t="s">
        <v>1392</v>
      </c>
      <c r="E3112">
        <v>10</v>
      </c>
    </row>
    <row r="3113" spans="1:5" x14ac:dyDescent="0.2">
      <c r="A3113">
        <v>10019003</v>
      </c>
      <c r="B3113">
        <v>26703331</v>
      </c>
      <c r="C3113">
        <v>5</v>
      </c>
      <c r="D3113" s="1" t="s">
        <v>423</v>
      </c>
      <c r="E3113">
        <v>10</v>
      </c>
    </row>
    <row r="3114" spans="1:5" x14ac:dyDescent="0.2">
      <c r="A3114">
        <v>10019003</v>
      </c>
      <c r="B3114">
        <v>26703331</v>
      </c>
      <c r="C3114">
        <v>10</v>
      </c>
      <c r="D3114" s="1" t="s">
        <v>1393</v>
      </c>
      <c r="E3114">
        <v>10</v>
      </c>
    </row>
    <row r="3115" spans="1:5" x14ac:dyDescent="0.2">
      <c r="A3115">
        <v>10019003</v>
      </c>
      <c r="B3115">
        <v>26703331</v>
      </c>
      <c r="C3115">
        <v>19</v>
      </c>
      <c r="D3115" s="1" t="s">
        <v>673</v>
      </c>
      <c r="E3115">
        <v>10</v>
      </c>
    </row>
    <row r="3116" spans="1:5" x14ac:dyDescent="0.2">
      <c r="A3116">
        <v>10019003</v>
      </c>
      <c r="B3116">
        <v>26703331</v>
      </c>
      <c r="C3116">
        <v>14</v>
      </c>
      <c r="D3116" s="1" t="s">
        <v>927</v>
      </c>
      <c r="E3116">
        <v>10</v>
      </c>
    </row>
    <row r="3117" spans="1:5" x14ac:dyDescent="0.2">
      <c r="A3117">
        <v>10019003</v>
      </c>
      <c r="B3117">
        <v>26703331</v>
      </c>
      <c r="C3117">
        <v>2</v>
      </c>
      <c r="D3117" s="1" t="s">
        <v>897</v>
      </c>
      <c r="E3117">
        <v>10</v>
      </c>
    </row>
    <row r="3118" spans="1:5" x14ac:dyDescent="0.2">
      <c r="A3118">
        <v>10019003</v>
      </c>
      <c r="B3118">
        <v>26703331</v>
      </c>
      <c r="C3118">
        <v>24</v>
      </c>
      <c r="D3118" s="1" t="s">
        <v>563</v>
      </c>
      <c r="E3118">
        <v>10</v>
      </c>
    </row>
    <row r="3119" spans="1:5" x14ac:dyDescent="0.2">
      <c r="A3119">
        <v>10019003</v>
      </c>
      <c r="B3119">
        <v>26703331</v>
      </c>
      <c r="C3119">
        <v>4</v>
      </c>
      <c r="D3119" s="1" t="s">
        <v>1391</v>
      </c>
      <c r="E3119">
        <v>10</v>
      </c>
    </row>
    <row r="3120" spans="1:5" x14ac:dyDescent="0.2">
      <c r="A3120">
        <v>10019003</v>
      </c>
      <c r="B3120">
        <v>26703331</v>
      </c>
      <c r="C3120">
        <v>7</v>
      </c>
      <c r="D3120" s="1" t="s">
        <v>1078</v>
      </c>
      <c r="E3120">
        <v>10</v>
      </c>
    </row>
    <row r="3121" spans="1:5" x14ac:dyDescent="0.2">
      <c r="A3121">
        <v>10019003</v>
      </c>
      <c r="B3121">
        <v>26703331</v>
      </c>
      <c r="C3121">
        <v>8</v>
      </c>
      <c r="D3121" s="1" t="s">
        <v>1278</v>
      </c>
      <c r="E3121">
        <v>10</v>
      </c>
    </row>
    <row r="3122" spans="1:5" x14ac:dyDescent="0.2">
      <c r="A3122">
        <v>10019003</v>
      </c>
      <c r="B3122">
        <v>26703331</v>
      </c>
      <c r="C3122">
        <v>23</v>
      </c>
      <c r="D3122" s="1" t="s">
        <v>430</v>
      </c>
      <c r="E3122">
        <v>10</v>
      </c>
    </row>
    <row r="3123" spans="1:5" x14ac:dyDescent="0.2">
      <c r="A3123">
        <v>10019003</v>
      </c>
      <c r="B3123">
        <v>26703331</v>
      </c>
      <c r="C3123">
        <v>9</v>
      </c>
      <c r="D3123" s="1" t="s">
        <v>1395</v>
      </c>
      <c r="E3123">
        <v>10</v>
      </c>
    </row>
    <row r="3124" spans="1:5" x14ac:dyDescent="0.2">
      <c r="A3124">
        <v>10019003</v>
      </c>
      <c r="B3124">
        <v>26703331</v>
      </c>
      <c r="C3124">
        <v>12</v>
      </c>
      <c r="D3124" s="1" t="s">
        <v>1034</v>
      </c>
      <c r="E3124">
        <v>10</v>
      </c>
    </row>
    <row r="3125" spans="1:5" x14ac:dyDescent="0.2">
      <c r="A3125">
        <v>10019003</v>
      </c>
      <c r="B3125">
        <v>26703331</v>
      </c>
      <c r="C3125">
        <v>21</v>
      </c>
      <c r="D3125" s="1" t="s">
        <v>1070</v>
      </c>
      <c r="E3125">
        <v>10</v>
      </c>
    </row>
    <row r="3126" spans="1:5" x14ac:dyDescent="0.2">
      <c r="A3126">
        <v>10039997</v>
      </c>
      <c r="B3126">
        <v>22484749</v>
      </c>
      <c r="C3126">
        <v>1</v>
      </c>
      <c r="D3126" s="1" t="s">
        <v>1405</v>
      </c>
      <c r="E3126">
        <v>10</v>
      </c>
    </row>
    <row r="3127" spans="1:5" x14ac:dyDescent="0.2">
      <c r="A3127">
        <v>10039997</v>
      </c>
      <c r="B3127">
        <v>22484749</v>
      </c>
      <c r="C3127">
        <v>6</v>
      </c>
      <c r="D3127" s="1" t="s">
        <v>621</v>
      </c>
      <c r="E3127">
        <v>10</v>
      </c>
    </row>
    <row r="3128" spans="1:5" x14ac:dyDescent="0.2">
      <c r="A3128">
        <v>10039997</v>
      </c>
      <c r="B3128">
        <v>22484749</v>
      </c>
      <c r="C3128">
        <v>8</v>
      </c>
      <c r="D3128" s="1" t="s">
        <v>737</v>
      </c>
      <c r="E3128">
        <v>10</v>
      </c>
    </row>
    <row r="3129" spans="1:5" x14ac:dyDescent="0.2">
      <c r="A3129">
        <v>10039997</v>
      </c>
      <c r="B3129">
        <v>22484749</v>
      </c>
      <c r="C3129">
        <v>9</v>
      </c>
      <c r="D3129" s="1" t="s">
        <v>1406</v>
      </c>
      <c r="E3129">
        <v>10</v>
      </c>
    </row>
    <row r="3130" spans="1:5" x14ac:dyDescent="0.2">
      <c r="A3130">
        <v>10039997</v>
      </c>
      <c r="B3130">
        <v>22484749</v>
      </c>
      <c r="C3130">
        <v>12</v>
      </c>
      <c r="D3130" s="1" t="s">
        <v>1407</v>
      </c>
      <c r="E3130">
        <v>10</v>
      </c>
    </row>
    <row r="3131" spans="1:5" x14ac:dyDescent="0.2">
      <c r="A3131">
        <v>10039997</v>
      </c>
      <c r="B3131">
        <v>22484749</v>
      </c>
      <c r="C3131">
        <v>2</v>
      </c>
      <c r="D3131" s="1" t="s">
        <v>1146</v>
      </c>
      <c r="E3131">
        <v>10</v>
      </c>
    </row>
    <row r="3132" spans="1:5" x14ac:dyDescent="0.2">
      <c r="A3132">
        <v>10039997</v>
      </c>
      <c r="B3132">
        <v>22484749</v>
      </c>
      <c r="C3132">
        <v>4</v>
      </c>
      <c r="D3132" s="1" t="s">
        <v>761</v>
      </c>
      <c r="E3132">
        <v>10</v>
      </c>
    </row>
    <row r="3133" spans="1:5" x14ac:dyDescent="0.2">
      <c r="A3133">
        <v>10039997</v>
      </c>
      <c r="B3133">
        <v>22484749</v>
      </c>
      <c r="C3133">
        <v>14</v>
      </c>
      <c r="D3133" s="1" t="s">
        <v>1070</v>
      </c>
      <c r="E3133">
        <v>10</v>
      </c>
    </row>
    <row r="3134" spans="1:5" x14ac:dyDescent="0.2">
      <c r="A3134">
        <v>10039997</v>
      </c>
      <c r="B3134">
        <v>22484749</v>
      </c>
      <c r="C3134">
        <v>5</v>
      </c>
      <c r="D3134" s="1" t="s">
        <v>1408</v>
      </c>
      <c r="E3134">
        <v>10</v>
      </c>
    </row>
    <row r="3135" spans="1:5" x14ac:dyDescent="0.2">
      <c r="A3135">
        <v>10039997</v>
      </c>
      <c r="B3135">
        <v>22484749</v>
      </c>
      <c r="C3135">
        <v>10</v>
      </c>
      <c r="D3135" s="1" t="s">
        <v>329</v>
      </c>
      <c r="E3135">
        <v>10</v>
      </c>
    </row>
    <row r="3136" spans="1:5" x14ac:dyDescent="0.2">
      <c r="A3136">
        <v>10039997</v>
      </c>
      <c r="B3136">
        <v>22484749</v>
      </c>
      <c r="C3136">
        <v>3</v>
      </c>
      <c r="D3136" s="1" t="s">
        <v>309</v>
      </c>
      <c r="E3136">
        <v>10</v>
      </c>
    </row>
    <row r="3137" spans="1:5" x14ac:dyDescent="0.2">
      <c r="A3137">
        <v>10039997</v>
      </c>
      <c r="B3137">
        <v>22484749</v>
      </c>
      <c r="C3137">
        <v>7</v>
      </c>
      <c r="D3137" s="1" t="s">
        <v>1409</v>
      </c>
      <c r="E3137">
        <v>10</v>
      </c>
    </row>
    <row r="3138" spans="1:5" x14ac:dyDescent="0.2">
      <c r="A3138">
        <v>10039997</v>
      </c>
      <c r="B3138">
        <v>22484749</v>
      </c>
      <c r="C3138">
        <v>13</v>
      </c>
      <c r="D3138" s="1" t="s">
        <v>574</v>
      </c>
      <c r="E3138">
        <v>10</v>
      </c>
    </row>
    <row r="3139" spans="1:5" x14ac:dyDescent="0.2">
      <c r="A3139">
        <v>10039997</v>
      </c>
      <c r="B3139">
        <v>22484749</v>
      </c>
      <c r="C3139">
        <v>15</v>
      </c>
      <c r="D3139" s="1" t="s">
        <v>441</v>
      </c>
      <c r="E3139">
        <v>10</v>
      </c>
    </row>
    <row r="3140" spans="1:5" x14ac:dyDescent="0.2">
      <c r="A3140">
        <v>10039997</v>
      </c>
      <c r="B3140">
        <v>22484749</v>
      </c>
      <c r="C3140">
        <v>11</v>
      </c>
      <c r="D3140" s="1" t="s">
        <v>1410</v>
      </c>
      <c r="E3140">
        <v>10</v>
      </c>
    </row>
    <row r="3141" spans="1:5" x14ac:dyDescent="0.2">
      <c r="A3141">
        <v>10039997</v>
      </c>
      <c r="B3141">
        <v>24294180</v>
      </c>
      <c r="C3141">
        <v>3</v>
      </c>
      <c r="D3141" s="1" t="s">
        <v>259</v>
      </c>
      <c r="E3141">
        <v>9</v>
      </c>
    </row>
    <row r="3142" spans="1:5" x14ac:dyDescent="0.2">
      <c r="A3142">
        <v>10039997</v>
      </c>
      <c r="B3142">
        <v>24294180</v>
      </c>
      <c r="C3142">
        <v>6</v>
      </c>
      <c r="D3142" s="1" t="s">
        <v>261</v>
      </c>
      <c r="E3142">
        <v>9</v>
      </c>
    </row>
    <row r="3143" spans="1:5" x14ac:dyDescent="0.2">
      <c r="A3143">
        <v>10039997</v>
      </c>
      <c r="B3143">
        <v>24294180</v>
      </c>
      <c r="C3143">
        <v>7</v>
      </c>
      <c r="D3143" s="1" t="s">
        <v>1411</v>
      </c>
      <c r="E3143">
        <v>9</v>
      </c>
    </row>
    <row r="3144" spans="1:5" x14ac:dyDescent="0.2">
      <c r="A3144">
        <v>10039997</v>
      </c>
      <c r="B3144">
        <v>24294180</v>
      </c>
      <c r="C3144">
        <v>4</v>
      </c>
      <c r="D3144" s="1" t="s">
        <v>308</v>
      </c>
      <c r="E3144">
        <v>9</v>
      </c>
    </row>
    <row r="3145" spans="1:5" x14ac:dyDescent="0.2">
      <c r="A3145">
        <v>10039997</v>
      </c>
      <c r="B3145">
        <v>24294180</v>
      </c>
      <c r="C3145">
        <v>9</v>
      </c>
      <c r="D3145" s="1" t="s">
        <v>255</v>
      </c>
      <c r="E3145">
        <v>9</v>
      </c>
    </row>
    <row r="3146" spans="1:5" x14ac:dyDescent="0.2">
      <c r="A3146">
        <v>10039997</v>
      </c>
      <c r="B3146">
        <v>24294180</v>
      </c>
      <c r="C3146">
        <v>2</v>
      </c>
      <c r="D3146" s="1" t="s">
        <v>1412</v>
      </c>
      <c r="E3146">
        <v>9</v>
      </c>
    </row>
    <row r="3147" spans="1:5" x14ac:dyDescent="0.2">
      <c r="A3147">
        <v>10039997</v>
      </c>
      <c r="B3147">
        <v>24294180</v>
      </c>
      <c r="C3147">
        <v>5</v>
      </c>
      <c r="D3147" s="1" t="s">
        <v>1044</v>
      </c>
      <c r="E3147">
        <v>9</v>
      </c>
    </row>
    <row r="3148" spans="1:5" x14ac:dyDescent="0.2">
      <c r="A3148">
        <v>10039997</v>
      </c>
      <c r="B3148">
        <v>24294180</v>
      </c>
      <c r="C3148">
        <v>8</v>
      </c>
      <c r="D3148" s="1" t="s">
        <v>296</v>
      </c>
      <c r="E3148">
        <v>9</v>
      </c>
    </row>
    <row r="3149" spans="1:5" x14ac:dyDescent="0.2">
      <c r="A3149">
        <v>10039997</v>
      </c>
      <c r="B3149">
        <v>24294180</v>
      </c>
      <c r="C3149">
        <v>1</v>
      </c>
      <c r="D3149" s="1" t="s">
        <v>812</v>
      </c>
      <c r="E3149">
        <v>9</v>
      </c>
    </row>
    <row r="3150" spans="1:5" x14ac:dyDescent="0.2">
      <c r="A3150">
        <v>10039997</v>
      </c>
      <c r="B3150">
        <v>21390688</v>
      </c>
      <c r="C3150">
        <v>3</v>
      </c>
      <c r="D3150" s="1" t="s">
        <v>379</v>
      </c>
      <c r="E3150">
        <v>10</v>
      </c>
    </row>
    <row r="3151" spans="1:5" x14ac:dyDescent="0.2">
      <c r="A3151">
        <v>10039997</v>
      </c>
      <c r="B3151">
        <v>21390688</v>
      </c>
      <c r="C3151">
        <v>4</v>
      </c>
      <c r="D3151" s="1" t="s">
        <v>1146</v>
      </c>
      <c r="E3151">
        <v>10</v>
      </c>
    </row>
    <row r="3152" spans="1:5" x14ac:dyDescent="0.2">
      <c r="A3152">
        <v>10039997</v>
      </c>
      <c r="B3152">
        <v>21390688</v>
      </c>
      <c r="C3152">
        <v>1</v>
      </c>
      <c r="D3152" s="1" t="s">
        <v>1413</v>
      </c>
      <c r="E3152">
        <v>10</v>
      </c>
    </row>
    <row r="3153" spans="1:5" x14ac:dyDescent="0.2">
      <c r="A3153">
        <v>10039997</v>
      </c>
      <c r="B3153">
        <v>21390688</v>
      </c>
      <c r="C3153">
        <v>5</v>
      </c>
      <c r="D3153" s="1" t="s">
        <v>738</v>
      </c>
      <c r="E3153">
        <v>10</v>
      </c>
    </row>
    <row r="3154" spans="1:5" x14ac:dyDescent="0.2">
      <c r="A3154">
        <v>10039997</v>
      </c>
      <c r="B3154">
        <v>21390688</v>
      </c>
      <c r="C3154">
        <v>2</v>
      </c>
      <c r="D3154" s="1" t="s">
        <v>574</v>
      </c>
      <c r="E3154">
        <v>10</v>
      </c>
    </row>
    <row r="3155" spans="1:5" x14ac:dyDescent="0.2">
      <c r="A3155">
        <v>10021312</v>
      </c>
      <c r="B3155">
        <v>28829452</v>
      </c>
      <c r="C3155">
        <v>12</v>
      </c>
      <c r="D3155" s="1" t="s">
        <v>889</v>
      </c>
      <c r="E3155">
        <v>10</v>
      </c>
    </row>
    <row r="3156" spans="1:5" x14ac:dyDescent="0.2">
      <c r="A3156">
        <v>10021312</v>
      </c>
      <c r="B3156">
        <v>28829452</v>
      </c>
      <c r="C3156">
        <v>14</v>
      </c>
      <c r="D3156" s="1" t="s">
        <v>428</v>
      </c>
      <c r="E3156">
        <v>10</v>
      </c>
    </row>
    <row r="3157" spans="1:5" x14ac:dyDescent="0.2">
      <c r="A3157">
        <v>10021312</v>
      </c>
      <c r="B3157">
        <v>28829452</v>
      </c>
      <c r="C3157">
        <v>17</v>
      </c>
      <c r="D3157" s="1" t="s">
        <v>1414</v>
      </c>
      <c r="E3157">
        <v>10</v>
      </c>
    </row>
    <row r="3158" spans="1:5" x14ac:dyDescent="0.2">
      <c r="A3158">
        <v>10021312</v>
      </c>
      <c r="B3158">
        <v>28829452</v>
      </c>
      <c r="C3158">
        <v>5</v>
      </c>
      <c r="D3158" s="1" t="s">
        <v>1415</v>
      </c>
      <c r="E3158">
        <v>10</v>
      </c>
    </row>
    <row r="3159" spans="1:5" x14ac:dyDescent="0.2">
      <c r="A3159">
        <v>10021312</v>
      </c>
      <c r="B3159">
        <v>28829452</v>
      </c>
      <c r="C3159">
        <v>6</v>
      </c>
      <c r="D3159" s="1" t="s">
        <v>1416</v>
      </c>
      <c r="E3159">
        <v>10</v>
      </c>
    </row>
    <row r="3160" spans="1:5" x14ac:dyDescent="0.2">
      <c r="A3160">
        <v>10021312</v>
      </c>
      <c r="B3160">
        <v>28829452</v>
      </c>
      <c r="C3160">
        <v>9</v>
      </c>
      <c r="D3160" s="1" t="s">
        <v>1070</v>
      </c>
      <c r="E3160">
        <v>10</v>
      </c>
    </row>
    <row r="3161" spans="1:5" x14ac:dyDescent="0.2">
      <c r="A3161">
        <v>10021312</v>
      </c>
      <c r="B3161">
        <v>28829452</v>
      </c>
      <c r="C3161">
        <v>11</v>
      </c>
      <c r="D3161" s="1" t="s">
        <v>677</v>
      </c>
      <c r="E3161">
        <v>10</v>
      </c>
    </row>
    <row r="3162" spans="1:5" x14ac:dyDescent="0.2">
      <c r="A3162">
        <v>10021312</v>
      </c>
      <c r="B3162">
        <v>28829452</v>
      </c>
      <c r="C3162">
        <v>2</v>
      </c>
      <c r="D3162" s="1" t="s">
        <v>1186</v>
      </c>
      <c r="E3162">
        <v>10</v>
      </c>
    </row>
    <row r="3163" spans="1:5" x14ac:dyDescent="0.2">
      <c r="A3163">
        <v>10021312</v>
      </c>
      <c r="B3163">
        <v>28829452</v>
      </c>
      <c r="C3163">
        <v>3</v>
      </c>
      <c r="D3163" s="1" t="s">
        <v>1417</v>
      </c>
      <c r="E3163">
        <v>10</v>
      </c>
    </row>
    <row r="3164" spans="1:5" x14ac:dyDescent="0.2">
      <c r="A3164">
        <v>10021312</v>
      </c>
      <c r="B3164">
        <v>28829452</v>
      </c>
      <c r="C3164">
        <v>4</v>
      </c>
      <c r="D3164" s="1" t="s">
        <v>1418</v>
      </c>
      <c r="E3164">
        <v>10</v>
      </c>
    </row>
    <row r="3165" spans="1:5" x14ac:dyDescent="0.2">
      <c r="A3165">
        <v>10021312</v>
      </c>
      <c r="B3165">
        <v>28829452</v>
      </c>
      <c r="C3165">
        <v>15</v>
      </c>
      <c r="D3165" s="1" t="s">
        <v>379</v>
      </c>
      <c r="E3165">
        <v>10</v>
      </c>
    </row>
    <row r="3166" spans="1:5" x14ac:dyDescent="0.2">
      <c r="A3166">
        <v>10021312</v>
      </c>
      <c r="B3166">
        <v>28829452</v>
      </c>
      <c r="C3166">
        <v>13</v>
      </c>
      <c r="D3166" s="1" t="s">
        <v>1419</v>
      </c>
      <c r="E3166">
        <v>10</v>
      </c>
    </row>
    <row r="3167" spans="1:5" x14ac:dyDescent="0.2">
      <c r="A3167">
        <v>10021312</v>
      </c>
      <c r="B3167">
        <v>28829452</v>
      </c>
      <c r="C3167">
        <v>10</v>
      </c>
      <c r="D3167" s="1" t="s">
        <v>478</v>
      </c>
      <c r="E3167">
        <v>10</v>
      </c>
    </row>
    <row r="3168" spans="1:5" x14ac:dyDescent="0.2">
      <c r="A3168">
        <v>10021312</v>
      </c>
      <c r="B3168">
        <v>28829452</v>
      </c>
      <c r="C3168">
        <v>1</v>
      </c>
      <c r="D3168" s="1" t="s">
        <v>793</v>
      </c>
      <c r="E3168">
        <v>10</v>
      </c>
    </row>
    <row r="3169" spans="1:5" x14ac:dyDescent="0.2">
      <c r="A3169">
        <v>10021312</v>
      </c>
      <c r="B3169">
        <v>28829452</v>
      </c>
      <c r="C3169">
        <v>8</v>
      </c>
      <c r="D3169" s="1" t="s">
        <v>1420</v>
      </c>
      <c r="E3169">
        <v>10</v>
      </c>
    </row>
    <row r="3170" spans="1:5" x14ac:dyDescent="0.2">
      <c r="A3170">
        <v>10021312</v>
      </c>
      <c r="B3170">
        <v>28829452</v>
      </c>
      <c r="C3170">
        <v>7</v>
      </c>
      <c r="D3170" s="1" t="s">
        <v>1421</v>
      </c>
      <c r="E3170">
        <v>10</v>
      </c>
    </row>
    <row r="3171" spans="1:5" x14ac:dyDescent="0.2">
      <c r="A3171">
        <v>10021312</v>
      </c>
      <c r="B3171">
        <v>28829452</v>
      </c>
      <c r="C3171">
        <v>16</v>
      </c>
      <c r="D3171" s="1" t="s">
        <v>430</v>
      </c>
      <c r="E3171">
        <v>10</v>
      </c>
    </row>
    <row r="3172" spans="1:5" x14ac:dyDescent="0.2">
      <c r="A3172">
        <v>10021312</v>
      </c>
      <c r="B3172">
        <v>25020332</v>
      </c>
      <c r="C3172">
        <v>1</v>
      </c>
      <c r="D3172" s="1" t="s">
        <v>1422</v>
      </c>
      <c r="E3172">
        <v>10</v>
      </c>
    </row>
    <row r="3173" spans="1:5" x14ac:dyDescent="0.2">
      <c r="A3173">
        <v>10021312</v>
      </c>
      <c r="B3173">
        <v>25020332</v>
      </c>
      <c r="C3173">
        <v>11</v>
      </c>
      <c r="D3173" s="1" t="s">
        <v>1423</v>
      </c>
      <c r="E3173">
        <v>10</v>
      </c>
    </row>
    <row r="3174" spans="1:5" x14ac:dyDescent="0.2">
      <c r="A3174">
        <v>10021312</v>
      </c>
      <c r="B3174">
        <v>25020332</v>
      </c>
      <c r="C3174">
        <v>8</v>
      </c>
      <c r="D3174" s="1" t="s">
        <v>1419</v>
      </c>
      <c r="E3174">
        <v>10</v>
      </c>
    </row>
    <row r="3175" spans="1:5" x14ac:dyDescent="0.2">
      <c r="A3175">
        <v>10021312</v>
      </c>
      <c r="B3175">
        <v>25020332</v>
      </c>
      <c r="C3175">
        <v>9</v>
      </c>
      <c r="D3175" s="1" t="s">
        <v>1424</v>
      </c>
      <c r="E3175">
        <v>10</v>
      </c>
    </row>
    <row r="3176" spans="1:5" x14ac:dyDescent="0.2">
      <c r="A3176">
        <v>10021312</v>
      </c>
      <c r="B3176">
        <v>25020332</v>
      </c>
      <c r="C3176">
        <v>7</v>
      </c>
      <c r="D3176" s="1" t="s">
        <v>574</v>
      </c>
      <c r="E3176">
        <v>10</v>
      </c>
    </row>
    <row r="3177" spans="1:5" x14ac:dyDescent="0.2">
      <c r="A3177">
        <v>10021312</v>
      </c>
      <c r="B3177">
        <v>25020332</v>
      </c>
      <c r="C3177">
        <v>3</v>
      </c>
      <c r="D3177" s="1" t="s">
        <v>1425</v>
      </c>
      <c r="E3177">
        <v>10</v>
      </c>
    </row>
    <row r="3178" spans="1:5" x14ac:dyDescent="0.2">
      <c r="A3178">
        <v>10021312</v>
      </c>
      <c r="B3178">
        <v>25020332</v>
      </c>
      <c r="C3178">
        <v>6</v>
      </c>
      <c r="D3178" s="1" t="s">
        <v>478</v>
      </c>
      <c r="E3178">
        <v>10</v>
      </c>
    </row>
    <row r="3179" spans="1:5" x14ac:dyDescent="0.2">
      <c r="A3179">
        <v>10021312</v>
      </c>
      <c r="B3179">
        <v>25020332</v>
      </c>
      <c r="C3179">
        <v>5</v>
      </c>
      <c r="D3179" s="1" t="s">
        <v>1070</v>
      </c>
      <c r="E3179">
        <v>10</v>
      </c>
    </row>
    <row r="3180" spans="1:5" x14ac:dyDescent="0.2">
      <c r="A3180">
        <v>10021312</v>
      </c>
      <c r="B3180">
        <v>25020332</v>
      </c>
      <c r="C3180">
        <v>4</v>
      </c>
      <c r="D3180" s="1" t="s">
        <v>1426</v>
      </c>
      <c r="E3180">
        <v>10</v>
      </c>
    </row>
    <row r="3181" spans="1:5" x14ac:dyDescent="0.2">
      <c r="A3181">
        <v>10021312</v>
      </c>
      <c r="B3181">
        <v>25020332</v>
      </c>
      <c r="C3181">
        <v>2</v>
      </c>
      <c r="D3181" s="1" t="s">
        <v>1427</v>
      </c>
      <c r="E3181">
        <v>10</v>
      </c>
    </row>
    <row r="3182" spans="1:5" x14ac:dyDescent="0.2">
      <c r="A3182">
        <v>10021312</v>
      </c>
      <c r="B3182">
        <v>25020332</v>
      </c>
      <c r="C3182">
        <v>10</v>
      </c>
      <c r="D3182" s="1" t="s">
        <v>522</v>
      </c>
      <c r="E3182">
        <v>10</v>
      </c>
    </row>
    <row r="3183" spans="1:5" x14ac:dyDescent="0.2">
      <c r="A3183">
        <v>10019777</v>
      </c>
      <c r="B3183">
        <v>27738145</v>
      </c>
      <c r="C3183">
        <v>11</v>
      </c>
      <c r="D3183" s="1" t="s">
        <v>1428</v>
      </c>
      <c r="E3183">
        <v>9</v>
      </c>
    </row>
    <row r="3184" spans="1:5" x14ac:dyDescent="0.2">
      <c r="A3184">
        <v>10019777</v>
      </c>
      <c r="B3184">
        <v>27738145</v>
      </c>
      <c r="C3184">
        <v>1</v>
      </c>
      <c r="D3184" s="1" t="s">
        <v>1429</v>
      </c>
      <c r="E3184">
        <v>9</v>
      </c>
    </row>
    <row r="3185" spans="1:5" x14ac:dyDescent="0.2">
      <c r="A3185">
        <v>10019777</v>
      </c>
      <c r="B3185">
        <v>27738145</v>
      </c>
      <c r="C3185">
        <v>27</v>
      </c>
      <c r="D3185" s="1" t="s">
        <v>1430</v>
      </c>
      <c r="E3185">
        <v>9</v>
      </c>
    </row>
    <row r="3186" spans="1:5" x14ac:dyDescent="0.2">
      <c r="A3186">
        <v>10019777</v>
      </c>
      <c r="B3186">
        <v>27738145</v>
      </c>
      <c r="C3186">
        <v>12</v>
      </c>
      <c r="D3186" s="1" t="s">
        <v>772</v>
      </c>
      <c r="E3186">
        <v>9</v>
      </c>
    </row>
    <row r="3187" spans="1:5" x14ac:dyDescent="0.2">
      <c r="A3187">
        <v>10019777</v>
      </c>
      <c r="B3187">
        <v>27738145</v>
      </c>
      <c r="C3187">
        <v>13</v>
      </c>
      <c r="D3187" s="1" t="s">
        <v>1431</v>
      </c>
      <c r="E3187">
        <v>9</v>
      </c>
    </row>
    <row r="3188" spans="1:5" x14ac:dyDescent="0.2">
      <c r="A3188">
        <v>10019777</v>
      </c>
      <c r="B3188">
        <v>27738145</v>
      </c>
      <c r="C3188">
        <v>26</v>
      </c>
      <c r="D3188" s="1" t="s">
        <v>1432</v>
      </c>
      <c r="E3188">
        <v>9</v>
      </c>
    </row>
    <row r="3189" spans="1:5" x14ac:dyDescent="0.2">
      <c r="A3189">
        <v>10019777</v>
      </c>
      <c r="B3189">
        <v>27738145</v>
      </c>
      <c r="C3189">
        <v>21</v>
      </c>
      <c r="D3189" s="1" t="s">
        <v>515</v>
      </c>
      <c r="E3189">
        <v>9</v>
      </c>
    </row>
    <row r="3190" spans="1:5" x14ac:dyDescent="0.2">
      <c r="A3190">
        <v>10019777</v>
      </c>
      <c r="B3190">
        <v>27738145</v>
      </c>
      <c r="C3190">
        <v>10</v>
      </c>
      <c r="D3190" s="1" t="s">
        <v>809</v>
      </c>
      <c r="E3190">
        <v>9</v>
      </c>
    </row>
    <row r="3191" spans="1:5" x14ac:dyDescent="0.2">
      <c r="A3191">
        <v>10019777</v>
      </c>
      <c r="B3191">
        <v>27738145</v>
      </c>
      <c r="C3191">
        <v>30</v>
      </c>
      <c r="D3191" s="1" t="s">
        <v>340</v>
      </c>
      <c r="E3191">
        <v>9</v>
      </c>
    </row>
    <row r="3192" spans="1:5" x14ac:dyDescent="0.2">
      <c r="A3192">
        <v>10019777</v>
      </c>
      <c r="B3192">
        <v>27738145</v>
      </c>
      <c r="C3192">
        <v>17</v>
      </c>
      <c r="D3192" s="1" t="s">
        <v>1433</v>
      </c>
      <c r="E3192">
        <v>9</v>
      </c>
    </row>
    <row r="3193" spans="1:5" x14ac:dyDescent="0.2">
      <c r="A3193">
        <v>10019777</v>
      </c>
      <c r="B3193">
        <v>27738145</v>
      </c>
      <c r="C3193">
        <v>31</v>
      </c>
      <c r="D3193" s="1" t="s">
        <v>538</v>
      </c>
      <c r="E3193">
        <v>9</v>
      </c>
    </row>
    <row r="3194" spans="1:5" x14ac:dyDescent="0.2">
      <c r="A3194">
        <v>10019777</v>
      </c>
      <c r="B3194">
        <v>27738145</v>
      </c>
      <c r="C3194">
        <v>4</v>
      </c>
      <c r="D3194" s="1" t="s">
        <v>692</v>
      </c>
      <c r="E3194">
        <v>9</v>
      </c>
    </row>
    <row r="3195" spans="1:5" x14ac:dyDescent="0.2">
      <c r="A3195">
        <v>10019777</v>
      </c>
      <c r="B3195">
        <v>27738145</v>
      </c>
      <c r="C3195">
        <v>15</v>
      </c>
      <c r="D3195" s="1" t="s">
        <v>406</v>
      </c>
      <c r="E3195">
        <v>9</v>
      </c>
    </row>
    <row r="3196" spans="1:5" x14ac:dyDescent="0.2">
      <c r="A3196">
        <v>10019777</v>
      </c>
      <c r="B3196">
        <v>27738145</v>
      </c>
      <c r="C3196">
        <v>8</v>
      </c>
      <c r="D3196" s="1" t="s">
        <v>1434</v>
      </c>
      <c r="E3196">
        <v>9</v>
      </c>
    </row>
    <row r="3197" spans="1:5" x14ac:dyDescent="0.2">
      <c r="A3197">
        <v>10019777</v>
      </c>
      <c r="B3197">
        <v>27738145</v>
      </c>
      <c r="C3197">
        <v>23</v>
      </c>
      <c r="D3197" s="1" t="s">
        <v>825</v>
      </c>
      <c r="E3197">
        <v>9</v>
      </c>
    </row>
    <row r="3198" spans="1:5" x14ac:dyDescent="0.2">
      <c r="A3198">
        <v>10019777</v>
      </c>
      <c r="B3198">
        <v>27738145</v>
      </c>
      <c r="C3198">
        <v>14</v>
      </c>
      <c r="D3198" s="1" t="s">
        <v>293</v>
      </c>
      <c r="E3198">
        <v>9</v>
      </c>
    </row>
    <row r="3199" spans="1:5" x14ac:dyDescent="0.2">
      <c r="A3199">
        <v>10019777</v>
      </c>
      <c r="B3199">
        <v>27738145</v>
      </c>
      <c r="C3199">
        <v>2</v>
      </c>
      <c r="D3199" s="1" t="s">
        <v>516</v>
      </c>
      <c r="E3199">
        <v>9</v>
      </c>
    </row>
    <row r="3200" spans="1:5" x14ac:dyDescent="0.2">
      <c r="A3200">
        <v>10019777</v>
      </c>
      <c r="B3200">
        <v>27738145</v>
      </c>
      <c r="C3200">
        <v>6</v>
      </c>
      <c r="D3200" s="1" t="s">
        <v>1435</v>
      </c>
      <c r="E3200">
        <v>9</v>
      </c>
    </row>
    <row r="3201" spans="1:5" x14ac:dyDescent="0.2">
      <c r="A3201">
        <v>10019777</v>
      </c>
      <c r="B3201">
        <v>27738145</v>
      </c>
      <c r="C3201">
        <v>22</v>
      </c>
      <c r="D3201" s="1" t="s">
        <v>510</v>
      </c>
      <c r="E3201">
        <v>9</v>
      </c>
    </row>
    <row r="3202" spans="1:5" x14ac:dyDescent="0.2">
      <c r="A3202">
        <v>10019777</v>
      </c>
      <c r="B3202">
        <v>27738145</v>
      </c>
      <c r="C3202">
        <v>25</v>
      </c>
      <c r="D3202" s="1" t="s">
        <v>296</v>
      </c>
      <c r="E3202">
        <v>9</v>
      </c>
    </row>
    <row r="3203" spans="1:5" x14ac:dyDescent="0.2">
      <c r="A3203">
        <v>10019777</v>
      </c>
      <c r="B3203">
        <v>27738145</v>
      </c>
      <c r="C3203">
        <v>20</v>
      </c>
      <c r="D3203" s="1" t="s">
        <v>369</v>
      </c>
      <c r="E3203">
        <v>9</v>
      </c>
    </row>
    <row r="3204" spans="1:5" x14ac:dyDescent="0.2">
      <c r="A3204">
        <v>10019777</v>
      </c>
      <c r="B3204">
        <v>27738145</v>
      </c>
      <c r="C3204">
        <v>29</v>
      </c>
      <c r="D3204" s="1" t="s">
        <v>285</v>
      </c>
      <c r="E3204">
        <v>9</v>
      </c>
    </row>
    <row r="3205" spans="1:5" x14ac:dyDescent="0.2">
      <c r="A3205">
        <v>10019777</v>
      </c>
      <c r="B3205">
        <v>27738145</v>
      </c>
      <c r="C3205">
        <v>5</v>
      </c>
      <c r="D3205" s="1" t="s">
        <v>501</v>
      </c>
      <c r="E3205">
        <v>9</v>
      </c>
    </row>
    <row r="3206" spans="1:5" x14ac:dyDescent="0.2">
      <c r="A3206">
        <v>10019777</v>
      </c>
      <c r="B3206">
        <v>27738145</v>
      </c>
      <c r="C3206">
        <v>18</v>
      </c>
      <c r="D3206" s="1" t="s">
        <v>1231</v>
      </c>
      <c r="E3206">
        <v>9</v>
      </c>
    </row>
    <row r="3207" spans="1:5" x14ac:dyDescent="0.2">
      <c r="A3207">
        <v>10019777</v>
      </c>
      <c r="B3207">
        <v>27738145</v>
      </c>
      <c r="C3207">
        <v>19</v>
      </c>
      <c r="D3207" s="1" t="s">
        <v>359</v>
      </c>
      <c r="E3207">
        <v>9</v>
      </c>
    </row>
    <row r="3208" spans="1:5" x14ac:dyDescent="0.2">
      <c r="A3208">
        <v>10019777</v>
      </c>
      <c r="B3208">
        <v>27738145</v>
      </c>
      <c r="C3208">
        <v>7</v>
      </c>
      <c r="D3208" s="1" t="s">
        <v>381</v>
      </c>
      <c r="E3208">
        <v>9</v>
      </c>
    </row>
    <row r="3209" spans="1:5" x14ac:dyDescent="0.2">
      <c r="A3209">
        <v>10019777</v>
      </c>
      <c r="B3209">
        <v>27738145</v>
      </c>
      <c r="C3209">
        <v>3</v>
      </c>
      <c r="D3209" s="1" t="s">
        <v>1436</v>
      </c>
      <c r="E3209">
        <v>9</v>
      </c>
    </row>
    <row r="3210" spans="1:5" x14ac:dyDescent="0.2">
      <c r="A3210">
        <v>10019777</v>
      </c>
      <c r="B3210">
        <v>27738145</v>
      </c>
      <c r="C3210">
        <v>16</v>
      </c>
      <c r="D3210" s="1" t="s">
        <v>918</v>
      </c>
      <c r="E3210">
        <v>9</v>
      </c>
    </row>
    <row r="3211" spans="1:5" x14ac:dyDescent="0.2">
      <c r="A3211">
        <v>10019777</v>
      </c>
      <c r="B3211">
        <v>27738145</v>
      </c>
      <c r="C3211">
        <v>28</v>
      </c>
      <c r="D3211" s="1" t="s">
        <v>1437</v>
      </c>
      <c r="E3211">
        <v>9</v>
      </c>
    </row>
    <row r="3212" spans="1:5" x14ac:dyDescent="0.2">
      <c r="A3212">
        <v>10019777</v>
      </c>
      <c r="B3212">
        <v>27738145</v>
      </c>
      <c r="C3212">
        <v>9</v>
      </c>
      <c r="D3212" s="1" t="s">
        <v>526</v>
      </c>
      <c r="E3212">
        <v>9</v>
      </c>
    </row>
    <row r="3213" spans="1:5" x14ac:dyDescent="0.2">
      <c r="A3213">
        <v>10019777</v>
      </c>
      <c r="B3213">
        <v>27738145</v>
      </c>
      <c r="C3213">
        <v>24</v>
      </c>
      <c r="D3213" s="1" t="s">
        <v>543</v>
      </c>
      <c r="E3213">
        <v>9</v>
      </c>
    </row>
    <row r="3214" spans="1:5" x14ac:dyDescent="0.2">
      <c r="A3214">
        <v>10003400</v>
      </c>
      <c r="B3214">
        <v>22390287</v>
      </c>
      <c r="C3214">
        <v>12</v>
      </c>
      <c r="D3214" s="1" t="s">
        <v>416</v>
      </c>
      <c r="E3214">
        <v>9</v>
      </c>
    </row>
    <row r="3215" spans="1:5" x14ac:dyDescent="0.2">
      <c r="A3215">
        <v>10003400</v>
      </c>
      <c r="B3215">
        <v>22390287</v>
      </c>
      <c r="C3215">
        <v>6</v>
      </c>
      <c r="D3215" s="1" t="s">
        <v>1438</v>
      </c>
      <c r="E3215">
        <v>9</v>
      </c>
    </row>
    <row r="3216" spans="1:5" x14ac:dyDescent="0.2">
      <c r="A3216">
        <v>10003400</v>
      </c>
      <c r="B3216">
        <v>22390287</v>
      </c>
      <c r="C3216">
        <v>13</v>
      </c>
      <c r="D3216" s="1" t="s">
        <v>713</v>
      </c>
      <c r="E3216">
        <v>9</v>
      </c>
    </row>
    <row r="3217" spans="1:5" x14ac:dyDescent="0.2">
      <c r="A3217">
        <v>10003400</v>
      </c>
      <c r="B3217">
        <v>22390287</v>
      </c>
      <c r="C3217">
        <v>8</v>
      </c>
      <c r="D3217" s="1" t="s">
        <v>825</v>
      </c>
      <c r="E3217">
        <v>9</v>
      </c>
    </row>
    <row r="3218" spans="1:5" x14ac:dyDescent="0.2">
      <c r="A3218">
        <v>10003400</v>
      </c>
      <c r="B3218">
        <v>22390287</v>
      </c>
      <c r="C3218">
        <v>5</v>
      </c>
      <c r="D3218" s="1" t="s">
        <v>320</v>
      </c>
      <c r="E3218">
        <v>9</v>
      </c>
    </row>
    <row r="3219" spans="1:5" x14ac:dyDescent="0.2">
      <c r="A3219">
        <v>10003400</v>
      </c>
      <c r="B3219">
        <v>22390287</v>
      </c>
      <c r="C3219">
        <v>1</v>
      </c>
      <c r="D3219" s="1" t="s">
        <v>1439</v>
      </c>
      <c r="E3219">
        <v>9</v>
      </c>
    </row>
    <row r="3220" spans="1:5" x14ac:dyDescent="0.2">
      <c r="A3220">
        <v>10003400</v>
      </c>
      <c r="B3220">
        <v>22390287</v>
      </c>
      <c r="C3220">
        <v>4</v>
      </c>
      <c r="D3220" s="1" t="s">
        <v>837</v>
      </c>
      <c r="E3220">
        <v>9</v>
      </c>
    </row>
    <row r="3221" spans="1:5" x14ac:dyDescent="0.2">
      <c r="A3221">
        <v>10003400</v>
      </c>
      <c r="B3221">
        <v>22390287</v>
      </c>
      <c r="C3221">
        <v>14</v>
      </c>
      <c r="D3221" s="1" t="s">
        <v>1440</v>
      </c>
      <c r="E3221">
        <v>9</v>
      </c>
    </row>
    <row r="3222" spans="1:5" x14ac:dyDescent="0.2">
      <c r="A3222">
        <v>10003400</v>
      </c>
      <c r="B3222">
        <v>22390287</v>
      </c>
      <c r="C3222">
        <v>15</v>
      </c>
      <c r="D3222" s="1" t="s">
        <v>1441</v>
      </c>
      <c r="E3222">
        <v>9</v>
      </c>
    </row>
    <row r="3223" spans="1:5" x14ac:dyDescent="0.2">
      <c r="A3223">
        <v>10003400</v>
      </c>
      <c r="B3223">
        <v>22390287</v>
      </c>
      <c r="C3223">
        <v>3</v>
      </c>
      <c r="D3223" s="1" t="s">
        <v>319</v>
      </c>
      <c r="E3223">
        <v>9</v>
      </c>
    </row>
    <row r="3224" spans="1:5" x14ac:dyDescent="0.2">
      <c r="A3224">
        <v>10003400</v>
      </c>
      <c r="B3224">
        <v>22390287</v>
      </c>
      <c r="C3224">
        <v>9</v>
      </c>
      <c r="D3224" s="1" t="s">
        <v>1442</v>
      </c>
      <c r="E3224">
        <v>9</v>
      </c>
    </row>
    <row r="3225" spans="1:5" x14ac:dyDescent="0.2">
      <c r="A3225">
        <v>10003400</v>
      </c>
      <c r="B3225">
        <v>22390287</v>
      </c>
      <c r="C3225">
        <v>10</v>
      </c>
      <c r="D3225" s="1" t="s">
        <v>700</v>
      </c>
      <c r="E3225">
        <v>9</v>
      </c>
    </row>
    <row r="3226" spans="1:5" x14ac:dyDescent="0.2">
      <c r="A3226">
        <v>10003400</v>
      </c>
      <c r="B3226">
        <v>22390287</v>
      </c>
      <c r="C3226">
        <v>2</v>
      </c>
      <c r="D3226" s="1" t="s">
        <v>858</v>
      </c>
      <c r="E3226">
        <v>9</v>
      </c>
    </row>
    <row r="3227" spans="1:5" x14ac:dyDescent="0.2">
      <c r="A3227">
        <v>10003400</v>
      </c>
      <c r="B3227">
        <v>22390287</v>
      </c>
      <c r="C3227">
        <v>11</v>
      </c>
      <c r="D3227" s="1" t="s">
        <v>318</v>
      </c>
      <c r="E3227">
        <v>9</v>
      </c>
    </row>
    <row r="3228" spans="1:5" x14ac:dyDescent="0.2">
      <c r="A3228">
        <v>10003400</v>
      </c>
      <c r="B3228">
        <v>22390287</v>
      </c>
      <c r="C3228">
        <v>7</v>
      </c>
      <c r="D3228" s="1" t="s">
        <v>1443</v>
      </c>
      <c r="E3228">
        <v>9</v>
      </c>
    </row>
    <row r="3229" spans="1:5" x14ac:dyDescent="0.2">
      <c r="A3229">
        <v>10003400</v>
      </c>
      <c r="B3229">
        <v>26467376</v>
      </c>
      <c r="C3229">
        <v>18</v>
      </c>
      <c r="D3229" s="1" t="s">
        <v>713</v>
      </c>
      <c r="E3229">
        <v>9</v>
      </c>
    </row>
    <row r="3230" spans="1:5" x14ac:dyDescent="0.2">
      <c r="A3230">
        <v>10003400</v>
      </c>
      <c r="B3230">
        <v>26467376</v>
      </c>
      <c r="C3230">
        <v>25</v>
      </c>
      <c r="D3230" s="1" t="s">
        <v>1444</v>
      </c>
      <c r="E3230">
        <v>9</v>
      </c>
    </row>
    <row r="3231" spans="1:5" x14ac:dyDescent="0.2">
      <c r="A3231">
        <v>10003400</v>
      </c>
      <c r="B3231">
        <v>26467376</v>
      </c>
      <c r="C3231">
        <v>19</v>
      </c>
      <c r="D3231" s="1" t="s">
        <v>418</v>
      </c>
      <c r="E3231">
        <v>9</v>
      </c>
    </row>
    <row r="3232" spans="1:5" x14ac:dyDescent="0.2">
      <c r="A3232">
        <v>10003400</v>
      </c>
      <c r="B3232">
        <v>26467376</v>
      </c>
      <c r="C3232">
        <v>21</v>
      </c>
      <c r="D3232" s="1" t="s">
        <v>1313</v>
      </c>
      <c r="E3232">
        <v>9</v>
      </c>
    </row>
    <row r="3233" spans="1:5" x14ac:dyDescent="0.2">
      <c r="A3233">
        <v>10003400</v>
      </c>
      <c r="B3233">
        <v>26467376</v>
      </c>
      <c r="C3233">
        <v>12</v>
      </c>
      <c r="D3233" s="1" t="s">
        <v>1445</v>
      </c>
      <c r="E3233">
        <v>9</v>
      </c>
    </row>
    <row r="3234" spans="1:5" x14ac:dyDescent="0.2">
      <c r="A3234">
        <v>10003400</v>
      </c>
      <c r="B3234">
        <v>26467376</v>
      </c>
      <c r="C3234">
        <v>27</v>
      </c>
      <c r="D3234" s="1" t="s">
        <v>264</v>
      </c>
      <c r="E3234">
        <v>9</v>
      </c>
    </row>
    <row r="3235" spans="1:5" x14ac:dyDescent="0.2">
      <c r="A3235">
        <v>10003400</v>
      </c>
      <c r="B3235">
        <v>26467376</v>
      </c>
      <c r="C3235">
        <v>16</v>
      </c>
      <c r="D3235" s="1" t="s">
        <v>1443</v>
      </c>
      <c r="E3235">
        <v>9</v>
      </c>
    </row>
    <row r="3236" spans="1:5" x14ac:dyDescent="0.2">
      <c r="A3236">
        <v>10003400</v>
      </c>
      <c r="B3236">
        <v>26467376</v>
      </c>
      <c r="C3236">
        <v>26</v>
      </c>
      <c r="D3236" s="1" t="s">
        <v>1446</v>
      </c>
      <c r="E3236">
        <v>9</v>
      </c>
    </row>
    <row r="3237" spans="1:5" x14ac:dyDescent="0.2">
      <c r="A3237">
        <v>10003400</v>
      </c>
      <c r="B3237">
        <v>26467376</v>
      </c>
      <c r="C3237">
        <v>1</v>
      </c>
      <c r="D3237" s="1" t="s">
        <v>320</v>
      </c>
      <c r="E3237">
        <v>9</v>
      </c>
    </row>
    <row r="3238" spans="1:5" x14ac:dyDescent="0.2">
      <c r="A3238">
        <v>10003400</v>
      </c>
      <c r="B3238">
        <v>26467376</v>
      </c>
      <c r="C3238">
        <v>10</v>
      </c>
      <c r="D3238" s="1" t="s">
        <v>1447</v>
      </c>
      <c r="E3238">
        <v>9</v>
      </c>
    </row>
    <row r="3239" spans="1:5" x14ac:dyDescent="0.2">
      <c r="A3239">
        <v>10003400</v>
      </c>
      <c r="B3239">
        <v>26467376</v>
      </c>
      <c r="C3239">
        <v>4</v>
      </c>
      <c r="D3239" s="1" t="s">
        <v>1253</v>
      </c>
      <c r="E3239">
        <v>9</v>
      </c>
    </row>
    <row r="3240" spans="1:5" x14ac:dyDescent="0.2">
      <c r="A3240">
        <v>10003400</v>
      </c>
      <c r="B3240">
        <v>26467376</v>
      </c>
      <c r="C3240">
        <v>22</v>
      </c>
      <c r="D3240" s="1" t="s">
        <v>1018</v>
      </c>
      <c r="E3240">
        <v>9</v>
      </c>
    </row>
    <row r="3241" spans="1:5" x14ac:dyDescent="0.2">
      <c r="A3241">
        <v>10003400</v>
      </c>
      <c r="B3241">
        <v>26467376</v>
      </c>
      <c r="C3241">
        <v>24</v>
      </c>
      <c r="D3241" s="1" t="s">
        <v>285</v>
      </c>
      <c r="E3241">
        <v>9</v>
      </c>
    </row>
    <row r="3242" spans="1:5" x14ac:dyDescent="0.2">
      <c r="A3242">
        <v>10003400</v>
      </c>
      <c r="B3242">
        <v>26467376</v>
      </c>
      <c r="C3242">
        <v>5</v>
      </c>
      <c r="D3242" s="1" t="s">
        <v>319</v>
      </c>
      <c r="E3242">
        <v>9</v>
      </c>
    </row>
    <row r="3243" spans="1:5" x14ac:dyDescent="0.2">
      <c r="A3243">
        <v>10003400</v>
      </c>
      <c r="B3243">
        <v>26467376</v>
      </c>
      <c r="C3243">
        <v>14</v>
      </c>
      <c r="D3243" s="1" t="s">
        <v>649</v>
      </c>
      <c r="E3243">
        <v>9</v>
      </c>
    </row>
    <row r="3244" spans="1:5" x14ac:dyDescent="0.2">
      <c r="A3244">
        <v>10003400</v>
      </c>
      <c r="B3244">
        <v>26467376</v>
      </c>
      <c r="C3244">
        <v>28</v>
      </c>
      <c r="D3244" s="1" t="s">
        <v>261</v>
      </c>
      <c r="E3244">
        <v>9</v>
      </c>
    </row>
    <row r="3245" spans="1:5" x14ac:dyDescent="0.2">
      <c r="A3245">
        <v>10003400</v>
      </c>
      <c r="B3245">
        <v>26467376</v>
      </c>
      <c r="C3245">
        <v>3</v>
      </c>
      <c r="D3245" s="1" t="s">
        <v>273</v>
      </c>
      <c r="E3245">
        <v>9</v>
      </c>
    </row>
    <row r="3246" spans="1:5" x14ac:dyDescent="0.2">
      <c r="A3246">
        <v>10003400</v>
      </c>
      <c r="B3246">
        <v>26467376</v>
      </c>
      <c r="C3246">
        <v>15</v>
      </c>
      <c r="D3246" s="1" t="s">
        <v>270</v>
      </c>
      <c r="E3246">
        <v>9</v>
      </c>
    </row>
    <row r="3247" spans="1:5" x14ac:dyDescent="0.2">
      <c r="A3247">
        <v>10003400</v>
      </c>
      <c r="B3247">
        <v>26467376</v>
      </c>
      <c r="C3247">
        <v>20</v>
      </c>
      <c r="D3247" s="1" t="s">
        <v>1448</v>
      </c>
      <c r="E3247">
        <v>9</v>
      </c>
    </row>
    <row r="3248" spans="1:5" x14ac:dyDescent="0.2">
      <c r="A3248">
        <v>10003400</v>
      </c>
      <c r="B3248">
        <v>26467376</v>
      </c>
      <c r="C3248">
        <v>8</v>
      </c>
      <c r="D3248" s="1" t="s">
        <v>1449</v>
      </c>
      <c r="E3248">
        <v>9</v>
      </c>
    </row>
    <row r="3249" spans="1:5" x14ac:dyDescent="0.2">
      <c r="A3249">
        <v>10003400</v>
      </c>
      <c r="B3249">
        <v>26467376</v>
      </c>
      <c r="C3249">
        <v>23</v>
      </c>
      <c r="D3249" s="1" t="s">
        <v>1450</v>
      </c>
      <c r="E3249">
        <v>9</v>
      </c>
    </row>
    <row r="3250" spans="1:5" x14ac:dyDescent="0.2">
      <c r="A3250">
        <v>10003400</v>
      </c>
      <c r="B3250">
        <v>26467376</v>
      </c>
      <c r="C3250">
        <v>11</v>
      </c>
      <c r="D3250" s="1" t="s">
        <v>1451</v>
      </c>
      <c r="E3250">
        <v>9</v>
      </c>
    </row>
    <row r="3251" spans="1:5" x14ac:dyDescent="0.2">
      <c r="A3251">
        <v>10003400</v>
      </c>
      <c r="B3251">
        <v>26467376</v>
      </c>
      <c r="C3251">
        <v>17</v>
      </c>
      <c r="D3251" s="1" t="s">
        <v>416</v>
      </c>
      <c r="E3251">
        <v>9</v>
      </c>
    </row>
    <row r="3252" spans="1:5" x14ac:dyDescent="0.2">
      <c r="A3252">
        <v>10003400</v>
      </c>
      <c r="B3252">
        <v>26467376</v>
      </c>
      <c r="C3252">
        <v>7</v>
      </c>
      <c r="D3252" s="1" t="s">
        <v>410</v>
      </c>
      <c r="E3252">
        <v>9</v>
      </c>
    </row>
    <row r="3253" spans="1:5" x14ac:dyDescent="0.2">
      <c r="A3253">
        <v>10003400</v>
      </c>
      <c r="B3253">
        <v>26467376</v>
      </c>
      <c r="C3253">
        <v>6</v>
      </c>
      <c r="D3253" s="1" t="s">
        <v>381</v>
      </c>
      <c r="E3253">
        <v>9</v>
      </c>
    </row>
    <row r="3254" spans="1:5" x14ac:dyDescent="0.2">
      <c r="A3254">
        <v>10003400</v>
      </c>
      <c r="B3254">
        <v>26467376</v>
      </c>
      <c r="C3254">
        <v>9</v>
      </c>
      <c r="D3254" s="1" t="s">
        <v>1452</v>
      </c>
      <c r="E3254">
        <v>9</v>
      </c>
    </row>
    <row r="3255" spans="1:5" x14ac:dyDescent="0.2">
      <c r="A3255">
        <v>10003400</v>
      </c>
      <c r="B3255">
        <v>26467376</v>
      </c>
      <c r="C3255">
        <v>29</v>
      </c>
      <c r="D3255" s="1" t="s">
        <v>255</v>
      </c>
      <c r="E3255">
        <v>9</v>
      </c>
    </row>
    <row r="3256" spans="1:5" x14ac:dyDescent="0.2">
      <c r="A3256">
        <v>10003400</v>
      </c>
      <c r="B3256">
        <v>26467376</v>
      </c>
      <c r="C3256">
        <v>13</v>
      </c>
      <c r="D3256" s="1" t="s">
        <v>390</v>
      </c>
      <c r="E3256">
        <v>9</v>
      </c>
    </row>
    <row r="3257" spans="1:5" x14ac:dyDescent="0.2">
      <c r="A3257">
        <v>10003400</v>
      </c>
      <c r="B3257">
        <v>26467376</v>
      </c>
      <c r="C3257">
        <v>2</v>
      </c>
      <c r="D3257" s="1" t="s">
        <v>1453</v>
      </c>
      <c r="E3257">
        <v>9</v>
      </c>
    </row>
    <row r="3258" spans="1:5" x14ac:dyDescent="0.2">
      <c r="A3258">
        <v>10003400</v>
      </c>
      <c r="B3258">
        <v>29483621</v>
      </c>
      <c r="C3258">
        <v>4</v>
      </c>
      <c r="D3258" s="1" t="s">
        <v>381</v>
      </c>
      <c r="E3258">
        <v>9</v>
      </c>
    </row>
    <row r="3259" spans="1:5" x14ac:dyDescent="0.2">
      <c r="A3259">
        <v>10003400</v>
      </c>
      <c r="B3259">
        <v>29483621</v>
      </c>
      <c r="C3259">
        <v>9</v>
      </c>
      <c r="D3259" s="1" t="s">
        <v>261</v>
      </c>
      <c r="E3259">
        <v>9</v>
      </c>
    </row>
    <row r="3260" spans="1:5" x14ac:dyDescent="0.2">
      <c r="A3260">
        <v>10003400</v>
      </c>
      <c r="B3260">
        <v>29483621</v>
      </c>
      <c r="C3260">
        <v>16</v>
      </c>
      <c r="D3260" s="1" t="s">
        <v>1450</v>
      </c>
      <c r="E3260">
        <v>9</v>
      </c>
    </row>
    <row r="3261" spans="1:5" x14ac:dyDescent="0.2">
      <c r="A3261">
        <v>10003400</v>
      </c>
      <c r="B3261">
        <v>29483621</v>
      </c>
      <c r="C3261">
        <v>17</v>
      </c>
      <c r="D3261" s="1" t="s">
        <v>353</v>
      </c>
      <c r="E3261">
        <v>9</v>
      </c>
    </row>
    <row r="3262" spans="1:5" x14ac:dyDescent="0.2">
      <c r="A3262">
        <v>10003400</v>
      </c>
      <c r="B3262">
        <v>29483621</v>
      </c>
      <c r="C3262">
        <v>8</v>
      </c>
      <c r="D3262" s="1" t="s">
        <v>418</v>
      </c>
      <c r="E3262">
        <v>9</v>
      </c>
    </row>
    <row r="3263" spans="1:5" x14ac:dyDescent="0.2">
      <c r="A3263">
        <v>10003400</v>
      </c>
      <c r="B3263">
        <v>29483621</v>
      </c>
      <c r="C3263">
        <v>10</v>
      </c>
      <c r="D3263" s="1" t="s">
        <v>416</v>
      </c>
      <c r="E3263">
        <v>9</v>
      </c>
    </row>
    <row r="3264" spans="1:5" x14ac:dyDescent="0.2">
      <c r="A3264">
        <v>10003400</v>
      </c>
      <c r="B3264">
        <v>29483621</v>
      </c>
      <c r="C3264">
        <v>13</v>
      </c>
      <c r="D3264" s="1" t="s">
        <v>360</v>
      </c>
      <c r="E3264">
        <v>9</v>
      </c>
    </row>
    <row r="3265" spans="1:5" x14ac:dyDescent="0.2">
      <c r="A3265">
        <v>10003400</v>
      </c>
      <c r="B3265">
        <v>29483621</v>
      </c>
      <c r="C3265">
        <v>12</v>
      </c>
      <c r="D3265" s="1" t="s">
        <v>1448</v>
      </c>
      <c r="E3265">
        <v>9</v>
      </c>
    </row>
    <row r="3266" spans="1:5" x14ac:dyDescent="0.2">
      <c r="A3266">
        <v>10003400</v>
      </c>
      <c r="B3266">
        <v>29483621</v>
      </c>
      <c r="C3266">
        <v>5</v>
      </c>
      <c r="D3266" s="1" t="s">
        <v>320</v>
      </c>
      <c r="E3266">
        <v>9</v>
      </c>
    </row>
    <row r="3267" spans="1:5" x14ac:dyDescent="0.2">
      <c r="A3267">
        <v>10003400</v>
      </c>
      <c r="B3267">
        <v>29483621</v>
      </c>
      <c r="C3267">
        <v>14</v>
      </c>
      <c r="D3267" s="1" t="s">
        <v>255</v>
      </c>
      <c r="E3267">
        <v>9</v>
      </c>
    </row>
    <row r="3268" spans="1:5" x14ac:dyDescent="0.2">
      <c r="A3268">
        <v>10003400</v>
      </c>
      <c r="B3268">
        <v>29483621</v>
      </c>
      <c r="C3268">
        <v>15</v>
      </c>
      <c r="D3268" s="1" t="s">
        <v>490</v>
      </c>
      <c r="E3268">
        <v>9</v>
      </c>
    </row>
    <row r="3269" spans="1:5" x14ac:dyDescent="0.2">
      <c r="A3269">
        <v>10003400</v>
      </c>
      <c r="B3269">
        <v>29483621</v>
      </c>
      <c r="C3269">
        <v>1</v>
      </c>
      <c r="D3269" s="1" t="s">
        <v>1454</v>
      </c>
      <c r="E3269">
        <v>9</v>
      </c>
    </row>
    <row r="3270" spans="1:5" x14ac:dyDescent="0.2">
      <c r="A3270">
        <v>10003400</v>
      </c>
      <c r="B3270">
        <v>29483621</v>
      </c>
      <c r="C3270">
        <v>2</v>
      </c>
      <c r="D3270" s="1" t="s">
        <v>1453</v>
      </c>
      <c r="E3270">
        <v>9</v>
      </c>
    </row>
    <row r="3271" spans="1:5" x14ac:dyDescent="0.2">
      <c r="A3271">
        <v>10003400</v>
      </c>
      <c r="B3271">
        <v>29483621</v>
      </c>
      <c r="C3271">
        <v>7</v>
      </c>
      <c r="D3271" s="1" t="s">
        <v>526</v>
      </c>
      <c r="E3271">
        <v>9</v>
      </c>
    </row>
    <row r="3272" spans="1:5" x14ac:dyDescent="0.2">
      <c r="A3272">
        <v>10003400</v>
      </c>
      <c r="B3272">
        <v>29483621</v>
      </c>
      <c r="C3272">
        <v>3</v>
      </c>
      <c r="D3272" s="1" t="s">
        <v>319</v>
      </c>
      <c r="E3272">
        <v>9</v>
      </c>
    </row>
    <row r="3273" spans="1:5" x14ac:dyDescent="0.2">
      <c r="A3273">
        <v>10003400</v>
      </c>
      <c r="B3273">
        <v>29483621</v>
      </c>
      <c r="C3273">
        <v>6</v>
      </c>
      <c r="D3273" s="1" t="s">
        <v>713</v>
      </c>
      <c r="E3273">
        <v>9</v>
      </c>
    </row>
    <row r="3274" spans="1:5" x14ac:dyDescent="0.2">
      <c r="A3274">
        <v>10003400</v>
      </c>
      <c r="B3274">
        <v>29483621</v>
      </c>
      <c r="C3274">
        <v>11</v>
      </c>
      <c r="D3274" s="1" t="s">
        <v>1245</v>
      </c>
      <c r="E3274">
        <v>9</v>
      </c>
    </row>
    <row r="3275" spans="1:5" x14ac:dyDescent="0.2">
      <c r="A3275">
        <v>10003400</v>
      </c>
      <c r="B3275">
        <v>27296885</v>
      </c>
      <c r="C3275">
        <v>7</v>
      </c>
      <c r="D3275" s="1" t="s">
        <v>1455</v>
      </c>
      <c r="E3275">
        <v>9</v>
      </c>
    </row>
    <row r="3276" spans="1:5" x14ac:dyDescent="0.2">
      <c r="A3276">
        <v>10003400</v>
      </c>
      <c r="B3276">
        <v>27296885</v>
      </c>
      <c r="C3276">
        <v>8</v>
      </c>
      <c r="D3276" s="1" t="s">
        <v>416</v>
      </c>
      <c r="E3276">
        <v>9</v>
      </c>
    </row>
    <row r="3277" spans="1:5" x14ac:dyDescent="0.2">
      <c r="A3277">
        <v>10003400</v>
      </c>
      <c r="B3277">
        <v>27296885</v>
      </c>
      <c r="C3277">
        <v>5</v>
      </c>
      <c r="D3277" s="1" t="s">
        <v>261</v>
      </c>
      <c r="E3277">
        <v>9</v>
      </c>
    </row>
    <row r="3278" spans="1:5" x14ac:dyDescent="0.2">
      <c r="A3278">
        <v>10003400</v>
      </c>
      <c r="B3278">
        <v>27296885</v>
      </c>
      <c r="C3278">
        <v>10</v>
      </c>
      <c r="D3278" s="1" t="s">
        <v>418</v>
      </c>
      <c r="E3278">
        <v>9</v>
      </c>
    </row>
    <row r="3279" spans="1:5" x14ac:dyDescent="0.2">
      <c r="A3279">
        <v>10003400</v>
      </c>
      <c r="B3279">
        <v>27296885</v>
      </c>
      <c r="C3279">
        <v>2</v>
      </c>
      <c r="D3279" s="1" t="s">
        <v>319</v>
      </c>
      <c r="E3279">
        <v>9</v>
      </c>
    </row>
    <row r="3280" spans="1:5" x14ac:dyDescent="0.2">
      <c r="A3280">
        <v>10003400</v>
      </c>
      <c r="B3280">
        <v>27296885</v>
      </c>
      <c r="C3280">
        <v>3</v>
      </c>
      <c r="D3280" s="1" t="s">
        <v>1447</v>
      </c>
      <c r="E3280">
        <v>9</v>
      </c>
    </row>
    <row r="3281" spans="1:5" x14ac:dyDescent="0.2">
      <c r="A3281">
        <v>10003400</v>
      </c>
      <c r="B3281">
        <v>27296885</v>
      </c>
      <c r="C3281">
        <v>6</v>
      </c>
      <c r="D3281" s="1" t="s">
        <v>749</v>
      </c>
      <c r="E3281">
        <v>9</v>
      </c>
    </row>
    <row r="3282" spans="1:5" x14ac:dyDescent="0.2">
      <c r="A3282">
        <v>10003400</v>
      </c>
      <c r="B3282">
        <v>27296885</v>
      </c>
      <c r="C3282">
        <v>9</v>
      </c>
      <c r="D3282" s="1" t="s">
        <v>713</v>
      </c>
      <c r="E3282">
        <v>9</v>
      </c>
    </row>
    <row r="3283" spans="1:5" x14ac:dyDescent="0.2">
      <c r="A3283">
        <v>10003400</v>
      </c>
      <c r="B3283">
        <v>27296885</v>
      </c>
      <c r="C3283">
        <v>4</v>
      </c>
      <c r="D3283" s="1" t="s">
        <v>320</v>
      </c>
      <c r="E3283">
        <v>9</v>
      </c>
    </row>
    <row r="3284" spans="1:5" x14ac:dyDescent="0.2">
      <c r="A3284">
        <v>10003400</v>
      </c>
      <c r="B3284">
        <v>27296885</v>
      </c>
      <c r="C3284">
        <v>1</v>
      </c>
      <c r="D3284" s="1" t="s">
        <v>730</v>
      </c>
      <c r="E3284">
        <v>9</v>
      </c>
    </row>
    <row r="3285" spans="1:5" x14ac:dyDescent="0.2">
      <c r="A3285">
        <v>10003400</v>
      </c>
      <c r="B3285">
        <v>26090619</v>
      </c>
      <c r="C3285">
        <v>7</v>
      </c>
      <c r="D3285" s="1" t="s">
        <v>418</v>
      </c>
      <c r="E3285">
        <v>9</v>
      </c>
    </row>
    <row r="3286" spans="1:5" x14ac:dyDescent="0.2">
      <c r="A3286">
        <v>10003400</v>
      </c>
      <c r="B3286">
        <v>26090619</v>
      </c>
      <c r="C3286">
        <v>3</v>
      </c>
      <c r="D3286" s="1" t="s">
        <v>1443</v>
      </c>
      <c r="E3286">
        <v>9</v>
      </c>
    </row>
    <row r="3287" spans="1:5" x14ac:dyDescent="0.2">
      <c r="A3287">
        <v>10003400</v>
      </c>
      <c r="B3287">
        <v>26090619</v>
      </c>
      <c r="C3287">
        <v>8</v>
      </c>
      <c r="D3287" s="1" t="s">
        <v>1245</v>
      </c>
      <c r="E3287">
        <v>9</v>
      </c>
    </row>
    <row r="3288" spans="1:5" x14ac:dyDescent="0.2">
      <c r="A3288">
        <v>10003400</v>
      </c>
      <c r="B3288">
        <v>26090619</v>
      </c>
      <c r="C3288">
        <v>4</v>
      </c>
      <c r="D3288" s="1" t="s">
        <v>320</v>
      </c>
      <c r="E3288">
        <v>9</v>
      </c>
    </row>
    <row r="3289" spans="1:5" x14ac:dyDescent="0.2">
      <c r="A3289">
        <v>10003400</v>
      </c>
      <c r="B3289">
        <v>26090619</v>
      </c>
      <c r="C3289">
        <v>1</v>
      </c>
      <c r="D3289" s="1" t="s">
        <v>1456</v>
      </c>
      <c r="E3289">
        <v>9</v>
      </c>
    </row>
    <row r="3290" spans="1:5" x14ac:dyDescent="0.2">
      <c r="A3290">
        <v>10003400</v>
      </c>
      <c r="B3290">
        <v>26090619</v>
      </c>
      <c r="C3290">
        <v>2</v>
      </c>
      <c r="D3290" s="1" t="s">
        <v>319</v>
      </c>
      <c r="E3290">
        <v>9</v>
      </c>
    </row>
    <row r="3291" spans="1:5" x14ac:dyDescent="0.2">
      <c r="A3291">
        <v>10003400</v>
      </c>
      <c r="B3291">
        <v>26090619</v>
      </c>
      <c r="C3291">
        <v>6</v>
      </c>
      <c r="D3291" s="1" t="s">
        <v>261</v>
      </c>
      <c r="E3291">
        <v>9</v>
      </c>
    </row>
    <row r="3292" spans="1:5" x14ac:dyDescent="0.2">
      <c r="A3292">
        <v>10003400</v>
      </c>
      <c r="B3292">
        <v>26090619</v>
      </c>
      <c r="C3292">
        <v>5</v>
      </c>
      <c r="D3292" s="1" t="s">
        <v>296</v>
      </c>
      <c r="E3292">
        <v>9</v>
      </c>
    </row>
    <row r="3293" spans="1:5" x14ac:dyDescent="0.2">
      <c r="A3293">
        <v>10003400</v>
      </c>
      <c r="B3293">
        <v>23559586</v>
      </c>
      <c r="C3293">
        <v>33</v>
      </c>
      <c r="D3293" s="1" t="s">
        <v>378</v>
      </c>
      <c r="E3293">
        <v>10</v>
      </c>
    </row>
    <row r="3294" spans="1:5" x14ac:dyDescent="0.2">
      <c r="A3294">
        <v>10003400</v>
      </c>
      <c r="B3294">
        <v>23559586</v>
      </c>
      <c r="C3294">
        <v>4</v>
      </c>
      <c r="D3294" s="1" t="s">
        <v>423</v>
      </c>
      <c r="E3294">
        <v>10</v>
      </c>
    </row>
    <row r="3295" spans="1:5" x14ac:dyDescent="0.2">
      <c r="A3295">
        <v>10003400</v>
      </c>
      <c r="B3295">
        <v>23559586</v>
      </c>
      <c r="C3295">
        <v>38</v>
      </c>
      <c r="D3295" s="1" t="s">
        <v>309</v>
      </c>
      <c r="E3295">
        <v>10</v>
      </c>
    </row>
    <row r="3296" spans="1:5" x14ac:dyDescent="0.2">
      <c r="A3296">
        <v>10003400</v>
      </c>
      <c r="B3296">
        <v>23559586</v>
      </c>
      <c r="C3296">
        <v>2</v>
      </c>
      <c r="D3296" s="1" t="s">
        <v>559</v>
      </c>
      <c r="E3296">
        <v>10</v>
      </c>
    </row>
    <row r="3297" spans="1:5" x14ac:dyDescent="0.2">
      <c r="A3297">
        <v>10003400</v>
      </c>
      <c r="B3297">
        <v>23559586</v>
      </c>
      <c r="C3297">
        <v>18</v>
      </c>
      <c r="D3297" s="1" t="s">
        <v>1089</v>
      </c>
      <c r="E3297">
        <v>10</v>
      </c>
    </row>
    <row r="3298" spans="1:5" x14ac:dyDescent="0.2">
      <c r="A3298">
        <v>10003400</v>
      </c>
      <c r="B3298">
        <v>23559586</v>
      </c>
      <c r="C3298">
        <v>6</v>
      </c>
      <c r="D3298" s="1" t="s">
        <v>1191</v>
      </c>
      <c r="E3298">
        <v>10</v>
      </c>
    </row>
    <row r="3299" spans="1:5" x14ac:dyDescent="0.2">
      <c r="A3299">
        <v>10003400</v>
      </c>
      <c r="B3299">
        <v>23559586</v>
      </c>
      <c r="C3299">
        <v>12</v>
      </c>
      <c r="D3299" s="1" t="s">
        <v>1457</v>
      </c>
      <c r="E3299">
        <v>10</v>
      </c>
    </row>
    <row r="3300" spans="1:5" x14ac:dyDescent="0.2">
      <c r="A3300">
        <v>10003400</v>
      </c>
      <c r="B3300">
        <v>23559586</v>
      </c>
      <c r="C3300">
        <v>27</v>
      </c>
      <c r="D3300" s="1" t="s">
        <v>1458</v>
      </c>
      <c r="E3300">
        <v>10</v>
      </c>
    </row>
    <row r="3301" spans="1:5" x14ac:dyDescent="0.2">
      <c r="A3301">
        <v>10003400</v>
      </c>
      <c r="B3301">
        <v>23559586</v>
      </c>
      <c r="C3301">
        <v>20</v>
      </c>
      <c r="D3301" s="1" t="s">
        <v>1083</v>
      </c>
      <c r="E3301">
        <v>10</v>
      </c>
    </row>
    <row r="3302" spans="1:5" x14ac:dyDescent="0.2">
      <c r="A3302">
        <v>10003400</v>
      </c>
      <c r="B3302">
        <v>23559586</v>
      </c>
      <c r="C3302">
        <v>29</v>
      </c>
      <c r="D3302" s="1" t="s">
        <v>1420</v>
      </c>
      <c r="E3302">
        <v>10</v>
      </c>
    </row>
    <row r="3303" spans="1:5" x14ac:dyDescent="0.2">
      <c r="A3303">
        <v>10003400</v>
      </c>
      <c r="B3303">
        <v>23559586</v>
      </c>
      <c r="C3303">
        <v>32</v>
      </c>
      <c r="D3303" s="1" t="s">
        <v>751</v>
      </c>
      <c r="E3303">
        <v>10</v>
      </c>
    </row>
    <row r="3304" spans="1:5" x14ac:dyDescent="0.2">
      <c r="A3304">
        <v>10003400</v>
      </c>
      <c r="B3304">
        <v>23559586</v>
      </c>
      <c r="C3304">
        <v>34</v>
      </c>
      <c r="D3304" s="1" t="s">
        <v>437</v>
      </c>
      <c r="E3304">
        <v>10</v>
      </c>
    </row>
    <row r="3305" spans="1:5" x14ac:dyDescent="0.2">
      <c r="A3305">
        <v>10003400</v>
      </c>
      <c r="B3305">
        <v>23559586</v>
      </c>
      <c r="C3305">
        <v>19</v>
      </c>
      <c r="D3305" s="1" t="s">
        <v>1459</v>
      </c>
      <c r="E3305">
        <v>10</v>
      </c>
    </row>
    <row r="3306" spans="1:5" x14ac:dyDescent="0.2">
      <c r="A3306">
        <v>10003400</v>
      </c>
      <c r="B3306">
        <v>23559586</v>
      </c>
      <c r="C3306">
        <v>24</v>
      </c>
      <c r="D3306" s="1" t="s">
        <v>365</v>
      </c>
      <c r="E3306">
        <v>10</v>
      </c>
    </row>
    <row r="3307" spans="1:5" x14ac:dyDescent="0.2">
      <c r="A3307">
        <v>10003400</v>
      </c>
      <c r="B3307">
        <v>23559586</v>
      </c>
      <c r="C3307">
        <v>8</v>
      </c>
      <c r="D3307" s="1" t="s">
        <v>734</v>
      </c>
      <c r="E3307">
        <v>10</v>
      </c>
    </row>
    <row r="3308" spans="1:5" x14ac:dyDescent="0.2">
      <c r="A3308">
        <v>10003400</v>
      </c>
      <c r="B3308">
        <v>23559586</v>
      </c>
      <c r="C3308">
        <v>15</v>
      </c>
      <c r="D3308" s="1" t="s">
        <v>907</v>
      </c>
      <c r="E3308">
        <v>10</v>
      </c>
    </row>
    <row r="3309" spans="1:5" x14ac:dyDescent="0.2">
      <c r="A3309">
        <v>10003400</v>
      </c>
      <c r="B3309">
        <v>23559586</v>
      </c>
      <c r="C3309">
        <v>22</v>
      </c>
      <c r="D3309" s="1" t="s">
        <v>563</v>
      </c>
      <c r="E3309">
        <v>10</v>
      </c>
    </row>
    <row r="3310" spans="1:5" x14ac:dyDescent="0.2">
      <c r="A3310">
        <v>10003400</v>
      </c>
      <c r="B3310">
        <v>23559586</v>
      </c>
      <c r="C3310">
        <v>28</v>
      </c>
      <c r="D3310" s="1" t="s">
        <v>621</v>
      </c>
      <c r="E3310">
        <v>10</v>
      </c>
    </row>
    <row r="3311" spans="1:5" x14ac:dyDescent="0.2">
      <c r="A3311">
        <v>10003400</v>
      </c>
      <c r="B3311">
        <v>23559586</v>
      </c>
      <c r="C3311">
        <v>16</v>
      </c>
      <c r="D3311" s="1" t="s">
        <v>1460</v>
      </c>
      <c r="E3311">
        <v>10</v>
      </c>
    </row>
    <row r="3312" spans="1:5" x14ac:dyDescent="0.2">
      <c r="A3312">
        <v>10003400</v>
      </c>
      <c r="B3312">
        <v>23559586</v>
      </c>
      <c r="C3312">
        <v>11</v>
      </c>
      <c r="D3312" s="1" t="s">
        <v>1461</v>
      </c>
      <c r="E3312">
        <v>10</v>
      </c>
    </row>
    <row r="3313" spans="1:5" x14ac:dyDescent="0.2">
      <c r="A3313">
        <v>10003400</v>
      </c>
      <c r="B3313">
        <v>23559586</v>
      </c>
      <c r="C3313">
        <v>30</v>
      </c>
      <c r="D3313" s="1" t="s">
        <v>630</v>
      </c>
      <c r="E3313">
        <v>10</v>
      </c>
    </row>
    <row r="3314" spans="1:5" x14ac:dyDescent="0.2">
      <c r="A3314">
        <v>10003400</v>
      </c>
      <c r="B3314">
        <v>23559586</v>
      </c>
      <c r="C3314">
        <v>31</v>
      </c>
      <c r="D3314" s="1" t="s">
        <v>1462</v>
      </c>
      <c r="E3314">
        <v>10</v>
      </c>
    </row>
    <row r="3315" spans="1:5" x14ac:dyDescent="0.2">
      <c r="A3315">
        <v>10003400</v>
      </c>
      <c r="B3315">
        <v>23559586</v>
      </c>
      <c r="C3315">
        <v>13</v>
      </c>
      <c r="D3315" s="1" t="s">
        <v>1171</v>
      </c>
      <c r="E3315">
        <v>10</v>
      </c>
    </row>
    <row r="3316" spans="1:5" x14ac:dyDescent="0.2">
      <c r="A3316">
        <v>10003400</v>
      </c>
      <c r="B3316">
        <v>23559586</v>
      </c>
      <c r="C3316">
        <v>23</v>
      </c>
      <c r="D3316" s="1" t="s">
        <v>733</v>
      </c>
      <c r="E3316">
        <v>10</v>
      </c>
    </row>
    <row r="3317" spans="1:5" x14ac:dyDescent="0.2">
      <c r="A3317">
        <v>10003400</v>
      </c>
      <c r="B3317">
        <v>23559586</v>
      </c>
      <c r="C3317">
        <v>5</v>
      </c>
      <c r="D3317" s="1" t="s">
        <v>564</v>
      </c>
      <c r="E3317">
        <v>10</v>
      </c>
    </row>
    <row r="3318" spans="1:5" x14ac:dyDescent="0.2">
      <c r="A3318">
        <v>10003400</v>
      </c>
      <c r="B3318">
        <v>23559586</v>
      </c>
      <c r="C3318">
        <v>25</v>
      </c>
      <c r="D3318" s="1" t="s">
        <v>1372</v>
      </c>
      <c r="E3318">
        <v>10</v>
      </c>
    </row>
    <row r="3319" spans="1:5" x14ac:dyDescent="0.2">
      <c r="A3319">
        <v>10003400</v>
      </c>
      <c r="B3319">
        <v>23559586</v>
      </c>
      <c r="C3319">
        <v>37</v>
      </c>
      <c r="D3319" s="1" t="s">
        <v>871</v>
      </c>
      <c r="E3319">
        <v>10</v>
      </c>
    </row>
    <row r="3320" spans="1:5" x14ac:dyDescent="0.2">
      <c r="A3320">
        <v>10003400</v>
      </c>
      <c r="B3320">
        <v>23559586</v>
      </c>
      <c r="C3320">
        <v>10</v>
      </c>
      <c r="D3320" s="1" t="s">
        <v>1463</v>
      </c>
      <c r="E3320">
        <v>10</v>
      </c>
    </row>
    <row r="3321" spans="1:5" x14ac:dyDescent="0.2">
      <c r="A3321">
        <v>10003400</v>
      </c>
      <c r="B3321">
        <v>23559586</v>
      </c>
      <c r="C3321">
        <v>26</v>
      </c>
      <c r="D3321" s="1" t="s">
        <v>446</v>
      </c>
      <c r="E3321">
        <v>10</v>
      </c>
    </row>
    <row r="3322" spans="1:5" x14ac:dyDescent="0.2">
      <c r="A3322">
        <v>10003400</v>
      </c>
      <c r="B3322">
        <v>23559586</v>
      </c>
      <c r="C3322">
        <v>7</v>
      </c>
      <c r="D3322" s="1" t="s">
        <v>450</v>
      </c>
      <c r="E3322">
        <v>10</v>
      </c>
    </row>
    <row r="3323" spans="1:5" x14ac:dyDescent="0.2">
      <c r="A3323">
        <v>10003400</v>
      </c>
      <c r="B3323">
        <v>23559586</v>
      </c>
      <c r="C3323">
        <v>14</v>
      </c>
      <c r="D3323" s="1" t="s">
        <v>1464</v>
      </c>
      <c r="E3323">
        <v>10</v>
      </c>
    </row>
    <row r="3324" spans="1:5" x14ac:dyDescent="0.2">
      <c r="A3324">
        <v>10003400</v>
      </c>
      <c r="B3324">
        <v>23559586</v>
      </c>
      <c r="C3324">
        <v>3</v>
      </c>
      <c r="D3324" s="1" t="s">
        <v>793</v>
      </c>
      <c r="E3324">
        <v>10</v>
      </c>
    </row>
    <row r="3325" spans="1:5" x14ac:dyDescent="0.2">
      <c r="A3325">
        <v>10003400</v>
      </c>
      <c r="B3325">
        <v>23559586</v>
      </c>
      <c r="C3325">
        <v>9</v>
      </c>
      <c r="D3325" s="1" t="s">
        <v>1465</v>
      </c>
      <c r="E3325">
        <v>10</v>
      </c>
    </row>
    <row r="3326" spans="1:5" x14ac:dyDescent="0.2">
      <c r="A3326">
        <v>10003400</v>
      </c>
      <c r="B3326">
        <v>23559586</v>
      </c>
      <c r="C3326">
        <v>36</v>
      </c>
      <c r="D3326" s="1" t="s">
        <v>755</v>
      </c>
      <c r="E3326">
        <v>10</v>
      </c>
    </row>
    <row r="3327" spans="1:5" x14ac:dyDescent="0.2">
      <c r="A3327">
        <v>10003400</v>
      </c>
      <c r="B3327">
        <v>23559586</v>
      </c>
      <c r="C3327">
        <v>17</v>
      </c>
      <c r="D3327" s="1" t="s">
        <v>1466</v>
      </c>
      <c r="E3327">
        <v>10</v>
      </c>
    </row>
    <row r="3328" spans="1:5" x14ac:dyDescent="0.2">
      <c r="A3328">
        <v>10003400</v>
      </c>
      <c r="B3328">
        <v>23559586</v>
      </c>
      <c r="C3328">
        <v>35</v>
      </c>
      <c r="D3328" s="1" t="s">
        <v>605</v>
      </c>
      <c r="E3328">
        <v>10</v>
      </c>
    </row>
    <row r="3329" spans="1:5" x14ac:dyDescent="0.2">
      <c r="A3329">
        <v>10003400</v>
      </c>
      <c r="B3329">
        <v>23559586</v>
      </c>
      <c r="C3329">
        <v>1</v>
      </c>
      <c r="D3329" s="1" t="s">
        <v>1467</v>
      </c>
      <c r="E3329">
        <v>10</v>
      </c>
    </row>
    <row r="3330" spans="1:5" x14ac:dyDescent="0.2">
      <c r="A3330">
        <v>10003400</v>
      </c>
      <c r="B3330">
        <v>23559586</v>
      </c>
      <c r="C3330">
        <v>21</v>
      </c>
      <c r="D3330" s="1" t="s">
        <v>334</v>
      </c>
      <c r="E3330">
        <v>10</v>
      </c>
    </row>
    <row r="3331" spans="1:5" x14ac:dyDescent="0.2">
      <c r="A3331">
        <v>10003400</v>
      </c>
      <c r="B3331">
        <v>20214994</v>
      </c>
      <c r="C3331">
        <v>14</v>
      </c>
      <c r="D3331" s="1" t="s">
        <v>283</v>
      </c>
      <c r="E3331">
        <v>9</v>
      </c>
    </row>
    <row r="3332" spans="1:5" x14ac:dyDescent="0.2">
      <c r="A3332">
        <v>10003400</v>
      </c>
      <c r="B3332">
        <v>20214994</v>
      </c>
      <c r="C3332">
        <v>17</v>
      </c>
      <c r="D3332" s="1" t="s">
        <v>320</v>
      </c>
      <c r="E3332">
        <v>9</v>
      </c>
    </row>
    <row r="3333" spans="1:5" x14ac:dyDescent="0.2">
      <c r="A3333">
        <v>10003400</v>
      </c>
      <c r="B3333">
        <v>20214994</v>
      </c>
      <c r="C3333">
        <v>33</v>
      </c>
      <c r="D3333" s="1" t="s">
        <v>1468</v>
      </c>
      <c r="E3333">
        <v>9</v>
      </c>
    </row>
    <row r="3334" spans="1:5" x14ac:dyDescent="0.2">
      <c r="A3334">
        <v>10003400</v>
      </c>
      <c r="B3334">
        <v>20214994</v>
      </c>
      <c r="C3334">
        <v>9</v>
      </c>
      <c r="D3334" s="1" t="s">
        <v>650</v>
      </c>
      <c r="E3334">
        <v>9</v>
      </c>
    </row>
    <row r="3335" spans="1:5" x14ac:dyDescent="0.2">
      <c r="A3335">
        <v>10003400</v>
      </c>
      <c r="B3335">
        <v>20214994</v>
      </c>
      <c r="C3335">
        <v>11</v>
      </c>
      <c r="D3335" s="1" t="s">
        <v>279</v>
      </c>
      <c r="E3335">
        <v>9</v>
      </c>
    </row>
    <row r="3336" spans="1:5" x14ac:dyDescent="0.2">
      <c r="A3336">
        <v>10003400</v>
      </c>
      <c r="B3336">
        <v>20214994</v>
      </c>
      <c r="C3336">
        <v>1</v>
      </c>
      <c r="D3336" s="1" t="s">
        <v>1447</v>
      </c>
      <c r="E3336">
        <v>9</v>
      </c>
    </row>
    <row r="3337" spans="1:5" x14ac:dyDescent="0.2">
      <c r="A3337">
        <v>10003400</v>
      </c>
      <c r="B3337">
        <v>20214994</v>
      </c>
      <c r="C3337">
        <v>23</v>
      </c>
      <c r="D3337" s="1" t="s">
        <v>418</v>
      </c>
      <c r="E3337">
        <v>9</v>
      </c>
    </row>
    <row r="3338" spans="1:5" x14ac:dyDescent="0.2">
      <c r="A3338">
        <v>10003400</v>
      </c>
      <c r="B3338">
        <v>20214994</v>
      </c>
      <c r="C3338">
        <v>29</v>
      </c>
      <c r="D3338" s="1" t="s">
        <v>1469</v>
      </c>
      <c r="E3338">
        <v>9</v>
      </c>
    </row>
    <row r="3339" spans="1:5" x14ac:dyDescent="0.2">
      <c r="A3339">
        <v>10003400</v>
      </c>
      <c r="B3339">
        <v>20214994</v>
      </c>
      <c r="C3339">
        <v>24</v>
      </c>
      <c r="D3339" s="1" t="s">
        <v>1448</v>
      </c>
      <c r="E3339">
        <v>9</v>
      </c>
    </row>
    <row r="3340" spans="1:5" x14ac:dyDescent="0.2">
      <c r="A3340">
        <v>10003400</v>
      </c>
      <c r="B3340">
        <v>20214994</v>
      </c>
      <c r="C3340">
        <v>2</v>
      </c>
      <c r="D3340" s="1" t="s">
        <v>460</v>
      </c>
      <c r="E3340">
        <v>9</v>
      </c>
    </row>
    <row r="3341" spans="1:5" x14ac:dyDescent="0.2">
      <c r="A3341">
        <v>10003400</v>
      </c>
      <c r="B3341">
        <v>20214994</v>
      </c>
      <c r="C3341">
        <v>34</v>
      </c>
      <c r="D3341" s="1" t="s">
        <v>1470</v>
      </c>
      <c r="E3341">
        <v>9</v>
      </c>
    </row>
    <row r="3342" spans="1:5" x14ac:dyDescent="0.2">
      <c r="A3342">
        <v>10003400</v>
      </c>
      <c r="B3342">
        <v>20214994</v>
      </c>
      <c r="C3342">
        <v>6</v>
      </c>
      <c r="D3342" s="1" t="s">
        <v>319</v>
      </c>
      <c r="E3342">
        <v>9</v>
      </c>
    </row>
    <row r="3343" spans="1:5" x14ac:dyDescent="0.2">
      <c r="A3343">
        <v>10003400</v>
      </c>
      <c r="B3343">
        <v>20214994</v>
      </c>
      <c r="C3343">
        <v>8</v>
      </c>
      <c r="D3343" s="1" t="s">
        <v>1471</v>
      </c>
      <c r="E3343">
        <v>9</v>
      </c>
    </row>
    <row r="3344" spans="1:5" x14ac:dyDescent="0.2">
      <c r="A3344">
        <v>10003400</v>
      </c>
      <c r="B3344">
        <v>20214994</v>
      </c>
      <c r="C3344">
        <v>20</v>
      </c>
      <c r="D3344" s="1" t="s">
        <v>537</v>
      </c>
      <c r="E3344">
        <v>9</v>
      </c>
    </row>
    <row r="3345" spans="1:5" x14ac:dyDescent="0.2">
      <c r="A3345">
        <v>10003400</v>
      </c>
      <c r="B3345">
        <v>20214994</v>
      </c>
      <c r="C3345">
        <v>32</v>
      </c>
      <c r="D3345" s="1" t="s">
        <v>1472</v>
      </c>
      <c r="E3345">
        <v>9</v>
      </c>
    </row>
    <row r="3346" spans="1:5" x14ac:dyDescent="0.2">
      <c r="A3346">
        <v>10003400</v>
      </c>
      <c r="B3346">
        <v>20214994</v>
      </c>
      <c r="C3346">
        <v>7</v>
      </c>
      <c r="D3346" s="1" t="s">
        <v>401</v>
      </c>
      <c r="E3346">
        <v>9</v>
      </c>
    </row>
    <row r="3347" spans="1:5" x14ac:dyDescent="0.2">
      <c r="A3347">
        <v>10003400</v>
      </c>
      <c r="B3347">
        <v>20214994</v>
      </c>
      <c r="C3347">
        <v>18</v>
      </c>
      <c r="D3347" s="1" t="s">
        <v>261</v>
      </c>
      <c r="E3347">
        <v>9</v>
      </c>
    </row>
    <row r="3348" spans="1:5" x14ac:dyDescent="0.2">
      <c r="A3348">
        <v>10003400</v>
      </c>
      <c r="B3348">
        <v>20214994</v>
      </c>
      <c r="C3348">
        <v>19</v>
      </c>
      <c r="D3348" s="1" t="s">
        <v>713</v>
      </c>
      <c r="E3348">
        <v>9</v>
      </c>
    </row>
    <row r="3349" spans="1:5" x14ac:dyDescent="0.2">
      <c r="A3349">
        <v>10003400</v>
      </c>
      <c r="B3349">
        <v>20214994</v>
      </c>
      <c r="C3349">
        <v>26</v>
      </c>
      <c r="D3349" s="1" t="s">
        <v>285</v>
      </c>
      <c r="E3349">
        <v>9</v>
      </c>
    </row>
    <row r="3350" spans="1:5" x14ac:dyDescent="0.2">
      <c r="A3350">
        <v>10003400</v>
      </c>
      <c r="B3350">
        <v>20214994</v>
      </c>
      <c r="C3350">
        <v>36</v>
      </c>
      <c r="D3350" s="1" t="s">
        <v>855</v>
      </c>
      <c r="E3350">
        <v>9</v>
      </c>
    </row>
    <row r="3351" spans="1:5" x14ac:dyDescent="0.2">
      <c r="A3351">
        <v>10003400</v>
      </c>
      <c r="B3351">
        <v>20214994</v>
      </c>
      <c r="C3351">
        <v>31</v>
      </c>
      <c r="D3351" s="1" t="s">
        <v>649</v>
      </c>
      <c r="E3351">
        <v>9</v>
      </c>
    </row>
    <row r="3352" spans="1:5" x14ac:dyDescent="0.2">
      <c r="A3352">
        <v>10003400</v>
      </c>
      <c r="B3352">
        <v>20214994</v>
      </c>
      <c r="C3352">
        <v>25</v>
      </c>
      <c r="D3352" s="1" t="s">
        <v>557</v>
      </c>
      <c r="E3352">
        <v>9</v>
      </c>
    </row>
    <row r="3353" spans="1:5" x14ac:dyDescent="0.2">
      <c r="A3353">
        <v>10003400</v>
      </c>
      <c r="B3353">
        <v>20214994</v>
      </c>
      <c r="C3353">
        <v>30</v>
      </c>
      <c r="D3353" s="1" t="s">
        <v>416</v>
      </c>
      <c r="E3353">
        <v>9</v>
      </c>
    </row>
    <row r="3354" spans="1:5" x14ac:dyDescent="0.2">
      <c r="A3354">
        <v>10003400</v>
      </c>
      <c r="B3354">
        <v>20214994</v>
      </c>
      <c r="C3354">
        <v>5</v>
      </c>
      <c r="D3354" s="1" t="s">
        <v>1473</v>
      </c>
      <c r="E3354">
        <v>9</v>
      </c>
    </row>
    <row r="3355" spans="1:5" x14ac:dyDescent="0.2">
      <c r="A3355">
        <v>10003400</v>
      </c>
      <c r="B3355">
        <v>20214994</v>
      </c>
      <c r="C3355">
        <v>12</v>
      </c>
      <c r="D3355" s="1" t="s">
        <v>1428</v>
      </c>
      <c r="E3355">
        <v>9</v>
      </c>
    </row>
    <row r="3356" spans="1:5" x14ac:dyDescent="0.2">
      <c r="A3356">
        <v>10003400</v>
      </c>
      <c r="B3356">
        <v>20214994</v>
      </c>
      <c r="C3356">
        <v>22</v>
      </c>
      <c r="D3356" s="1" t="s">
        <v>728</v>
      </c>
      <c r="E3356">
        <v>9</v>
      </c>
    </row>
    <row r="3357" spans="1:5" x14ac:dyDescent="0.2">
      <c r="A3357">
        <v>10003400</v>
      </c>
      <c r="B3357">
        <v>20214994</v>
      </c>
      <c r="C3357">
        <v>13</v>
      </c>
      <c r="D3357" s="1" t="s">
        <v>526</v>
      </c>
      <c r="E3357">
        <v>9</v>
      </c>
    </row>
    <row r="3358" spans="1:5" x14ac:dyDescent="0.2">
      <c r="A3358">
        <v>10003400</v>
      </c>
      <c r="B3358">
        <v>20214994</v>
      </c>
      <c r="C3358">
        <v>15</v>
      </c>
      <c r="D3358" s="1" t="s">
        <v>1474</v>
      </c>
      <c r="E3358">
        <v>9</v>
      </c>
    </row>
    <row r="3359" spans="1:5" x14ac:dyDescent="0.2">
      <c r="A3359">
        <v>10003400</v>
      </c>
      <c r="B3359">
        <v>20214994</v>
      </c>
      <c r="C3359">
        <v>21</v>
      </c>
      <c r="D3359" s="1" t="s">
        <v>945</v>
      </c>
      <c r="E3359">
        <v>9</v>
      </c>
    </row>
    <row r="3360" spans="1:5" x14ac:dyDescent="0.2">
      <c r="A3360">
        <v>10003400</v>
      </c>
      <c r="B3360">
        <v>20214994</v>
      </c>
      <c r="C3360">
        <v>4</v>
      </c>
      <c r="D3360" s="1" t="s">
        <v>454</v>
      </c>
      <c r="E3360">
        <v>9</v>
      </c>
    </row>
    <row r="3361" spans="1:5" x14ac:dyDescent="0.2">
      <c r="A3361">
        <v>10003400</v>
      </c>
      <c r="B3361">
        <v>20214994</v>
      </c>
      <c r="C3361">
        <v>3</v>
      </c>
      <c r="D3361" s="1" t="s">
        <v>516</v>
      </c>
      <c r="E3361">
        <v>9</v>
      </c>
    </row>
    <row r="3362" spans="1:5" x14ac:dyDescent="0.2">
      <c r="A3362">
        <v>10003400</v>
      </c>
      <c r="B3362">
        <v>20214994</v>
      </c>
      <c r="C3362">
        <v>35</v>
      </c>
      <c r="D3362" s="1" t="s">
        <v>472</v>
      </c>
      <c r="E3362">
        <v>9</v>
      </c>
    </row>
    <row r="3363" spans="1:5" x14ac:dyDescent="0.2">
      <c r="A3363">
        <v>10003400</v>
      </c>
      <c r="B3363">
        <v>20214994</v>
      </c>
      <c r="C3363">
        <v>27</v>
      </c>
      <c r="D3363" s="1" t="s">
        <v>745</v>
      </c>
      <c r="E3363">
        <v>9</v>
      </c>
    </row>
    <row r="3364" spans="1:5" x14ac:dyDescent="0.2">
      <c r="A3364">
        <v>10003400</v>
      </c>
      <c r="B3364">
        <v>20214994</v>
      </c>
      <c r="C3364">
        <v>28</v>
      </c>
      <c r="D3364" s="1" t="s">
        <v>369</v>
      </c>
      <c r="E3364">
        <v>9</v>
      </c>
    </row>
    <row r="3365" spans="1:5" x14ac:dyDescent="0.2">
      <c r="A3365">
        <v>10003400</v>
      </c>
      <c r="B3365">
        <v>20214994</v>
      </c>
      <c r="C3365">
        <v>10</v>
      </c>
      <c r="D3365" s="1" t="s">
        <v>1475</v>
      </c>
      <c r="E3365">
        <v>9</v>
      </c>
    </row>
    <row r="3366" spans="1:5" x14ac:dyDescent="0.2">
      <c r="A3366">
        <v>10003400</v>
      </c>
      <c r="B3366">
        <v>20214994</v>
      </c>
      <c r="C3366">
        <v>16</v>
      </c>
      <c r="D3366" s="1" t="s">
        <v>1476</v>
      </c>
      <c r="E3366">
        <v>9</v>
      </c>
    </row>
    <row r="3367" spans="1:5" x14ac:dyDescent="0.2">
      <c r="A3367">
        <v>10023117</v>
      </c>
      <c r="B3367">
        <v>29839885</v>
      </c>
      <c r="C3367">
        <v>6</v>
      </c>
      <c r="D3367" s="1" t="s">
        <v>649</v>
      </c>
      <c r="E3367">
        <v>9</v>
      </c>
    </row>
    <row r="3368" spans="1:5" x14ac:dyDescent="0.2">
      <c r="A3368">
        <v>10023117</v>
      </c>
      <c r="B3368">
        <v>29839885</v>
      </c>
      <c r="C3368">
        <v>2</v>
      </c>
      <c r="D3368" s="1" t="s">
        <v>718</v>
      </c>
      <c r="E3368">
        <v>9</v>
      </c>
    </row>
    <row r="3369" spans="1:5" x14ac:dyDescent="0.2">
      <c r="A3369">
        <v>10023117</v>
      </c>
      <c r="B3369">
        <v>29839885</v>
      </c>
      <c r="C3369">
        <v>4</v>
      </c>
      <c r="D3369" s="1" t="s">
        <v>369</v>
      </c>
      <c r="E3369">
        <v>9</v>
      </c>
    </row>
    <row r="3370" spans="1:5" x14ac:dyDescent="0.2">
      <c r="A3370">
        <v>10023117</v>
      </c>
      <c r="B3370">
        <v>29839885</v>
      </c>
      <c r="C3370">
        <v>3</v>
      </c>
      <c r="D3370" s="1" t="s">
        <v>412</v>
      </c>
      <c r="E3370">
        <v>9</v>
      </c>
    </row>
    <row r="3371" spans="1:5" x14ac:dyDescent="0.2">
      <c r="A3371">
        <v>10023117</v>
      </c>
      <c r="B3371">
        <v>29839885</v>
      </c>
      <c r="C3371">
        <v>1</v>
      </c>
      <c r="D3371" s="1" t="s">
        <v>1477</v>
      </c>
      <c r="E3371">
        <v>9</v>
      </c>
    </row>
    <row r="3372" spans="1:5" x14ac:dyDescent="0.2">
      <c r="A3372">
        <v>10023117</v>
      </c>
      <c r="B3372">
        <v>29839885</v>
      </c>
      <c r="C3372">
        <v>5</v>
      </c>
      <c r="D3372" s="1" t="s">
        <v>1478</v>
      </c>
      <c r="E3372">
        <v>9</v>
      </c>
    </row>
    <row r="3373" spans="1:5" x14ac:dyDescent="0.2">
      <c r="A3373">
        <v>10023117</v>
      </c>
      <c r="B3373">
        <v>29839885</v>
      </c>
      <c r="C3373">
        <v>7</v>
      </c>
      <c r="D3373" s="1" t="s">
        <v>261</v>
      </c>
      <c r="E3373">
        <v>9</v>
      </c>
    </row>
    <row r="3374" spans="1:5" x14ac:dyDescent="0.2">
      <c r="A3374">
        <v>10023117</v>
      </c>
      <c r="B3374">
        <v>28872262</v>
      </c>
      <c r="C3374">
        <v>25</v>
      </c>
      <c r="D3374" s="1" t="s">
        <v>285</v>
      </c>
      <c r="E3374">
        <v>9</v>
      </c>
    </row>
    <row r="3375" spans="1:5" x14ac:dyDescent="0.2">
      <c r="A3375">
        <v>10023117</v>
      </c>
      <c r="B3375">
        <v>28872262</v>
      </c>
      <c r="C3375">
        <v>21</v>
      </c>
      <c r="D3375" s="1" t="s">
        <v>255</v>
      </c>
      <c r="E3375">
        <v>9</v>
      </c>
    </row>
    <row r="3376" spans="1:5" x14ac:dyDescent="0.2">
      <c r="A3376">
        <v>10023117</v>
      </c>
      <c r="B3376">
        <v>28872262</v>
      </c>
      <c r="C3376">
        <v>8</v>
      </c>
      <c r="D3376" s="1" t="s">
        <v>307</v>
      </c>
      <c r="E3376">
        <v>9</v>
      </c>
    </row>
    <row r="3377" spans="1:5" x14ac:dyDescent="0.2">
      <c r="A3377">
        <v>10023117</v>
      </c>
      <c r="B3377">
        <v>28872262</v>
      </c>
      <c r="C3377">
        <v>23</v>
      </c>
      <c r="D3377" s="1" t="s">
        <v>353</v>
      </c>
      <c r="E3377">
        <v>9</v>
      </c>
    </row>
    <row r="3378" spans="1:5" x14ac:dyDescent="0.2">
      <c r="A3378">
        <v>10023117</v>
      </c>
      <c r="B3378">
        <v>28872262</v>
      </c>
      <c r="C3378">
        <v>3</v>
      </c>
      <c r="D3378" s="1" t="s">
        <v>381</v>
      </c>
      <c r="E3378">
        <v>9</v>
      </c>
    </row>
    <row r="3379" spans="1:5" x14ac:dyDescent="0.2">
      <c r="A3379">
        <v>10023117</v>
      </c>
      <c r="B3379">
        <v>28872262</v>
      </c>
      <c r="C3379">
        <v>12</v>
      </c>
      <c r="D3379" s="1" t="s">
        <v>1479</v>
      </c>
      <c r="E3379">
        <v>9</v>
      </c>
    </row>
    <row r="3380" spans="1:5" x14ac:dyDescent="0.2">
      <c r="A3380">
        <v>10023117</v>
      </c>
      <c r="B3380">
        <v>28872262</v>
      </c>
      <c r="C3380">
        <v>19</v>
      </c>
      <c r="D3380" s="1" t="s">
        <v>499</v>
      </c>
      <c r="E3380">
        <v>9</v>
      </c>
    </row>
    <row r="3381" spans="1:5" x14ac:dyDescent="0.2">
      <c r="A3381">
        <v>10023117</v>
      </c>
      <c r="B3381">
        <v>28872262</v>
      </c>
      <c r="C3381">
        <v>24</v>
      </c>
      <c r="D3381" s="1" t="s">
        <v>1480</v>
      </c>
      <c r="E3381">
        <v>9</v>
      </c>
    </row>
    <row r="3382" spans="1:5" x14ac:dyDescent="0.2">
      <c r="A3382">
        <v>10023117</v>
      </c>
      <c r="B3382">
        <v>28872262</v>
      </c>
      <c r="C3382">
        <v>22</v>
      </c>
      <c r="D3382" s="1" t="s">
        <v>851</v>
      </c>
      <c r="E3382">
        <v>9</v>
      </c>
    </row>
    <row r="3383" spans="1:5" x14ac:dyDescent="0.2">
      <c r="A3383">
        <v>10023117</v>
      </c>
      <c r="B3383">
        <v>28872262</v>
      </c>
      <c r="C3383">
        <v>7</v>
      </c>
      <c r="D3383" s="1" t="s">
        <v>1481</v>
      </c>
      <c r="E3383">
        <v>9</v>
      </c>
    </row>
    <row r="3384" spans="1:5" x14ac:dyDescent="0.2">
      <c r="A3384">
        <v>10023117</v>
      </c>
      <c r="B3384">
        <v>28872262</v>
      </c>
      <c r="C3384">
        <v>9</v>
      </c>
      <c r="D3384" s="1" t="s">
        <v>1482</v>
      </c>
      <c r="E3384">
        <v>9</v>
      </c>
    </row>
    <row r="3385" spans="1:5" x14ac:dyDescent="0.2">
      <c r="A3385">
        <v>10023117</v>
      </c>
      <c r="B3385">
        <v>28872262</v>
      </c>
      <c r="C3385">
        <v>13</v>
      </c>
      <c r="D3385" s="1" t="s">
        <v>259</v>
      </c>
      <c r="E3385">
        <v>9</v>
      </c>
    </row>
    <row r="3386" spans="1:5" x14ac:dyDescent="0.2">
      <c r="A3386">
        <v>10023117</v>
      </c>
      <c r="B3386">
        <v>28872262</v>
      </c>
      <c r="C3386">
        <v>20</v>
      </c>
      <c r="D3386" s="1" t="s">
        <v>261</v>
      </c>
      <c r="E3386">
        <v>9</v>
      </c>
    </row>
    <row r="3387" spans="1:5" x14ac:dyDescent="0.2">
      <c r="A3387">
        <v>10023117</v>
      </c>
      <c r="B3387">
        <v>28872262</v>
      </c>
      <c r="C3387">
        <v>5</v>
      </c>
      <c r="D3387" s="1" t="s">
        <v>390</v>
      </c>
      <c r="E3387">
        <v>9</v>
      </c>
    </row>
    <row r="3388" spans="1:5" x14ac:dyDescent="0.2">
      <c r="A3388">
        <v>10023117</v>
      </c>
      <c r="B3388">
        <v>28872262</v>
      </c>
      <c r="C3388">
        <v>2</v>
      </c>
      <c r="D3388" s="1" t="s">
        <v>273</v>
      </c>
      <c r="E3388">
        <v>9</v>
      </c>
    </row>
    <row r="3389" spans="1:5" x14ac:dyDescent="0.2">
      <c r="A3389">
        <v>10023117</v>
      </c>
      <c r="B3389">
        <v>28872262</v>
      </c>
      <c r="C3389">
        <v>16</v>
      </c>
      <c r="D3389" s="1" t="s">
        <v>359</v>
      </c>
      <c r="E3389">
        <v>9</v>
      </c>
    </row>
    <row r="3390" spans="1:5" x14ac:dyDescent="0.2">
      <c r="A3390">
        <v>10023117</v>
      </c>
      <c r="B3390">
        <v>28872262</v>
      </c>
      <c r="C3390">
        <v>17</v>
      </c>
      <c r="D3390" s="1" t="s">
        <v>413</v>
      </c>
      <c r="E3390">
        <v>9</v>
      </c>
    </row>
    <row r="3391" spans="1:5" x14ac:dyDescent="0.2">
      <c r="A3391">
        <v>10023117</v>
      </c>
      <c r="B3391">
        <v>28872262</v>
      </c>
      <c r="C3391">
        <v>15</v>
      </c>
      <c r="D3391" s="1" t="s">
        <v>293</v>
      </c>
      <c r="E3391">
        <v>9</v>
      </c>
    </row>
    <row r="3392" spans="1:5" x14ac:dyDescent="0.2">
      <c r="A3392">
        <v>10023117</v>
      </c>
      <c r="B3392">
        <v>28872262</v>
      </c>
      <c r="C3392">
        <v>18</v>
      </c>
      <c r="D3392" s="1" t="s">
        <v>416</v>
      </c>
      <c r="E3392">
        <v>9</v>
      </c>
    </row>
    <row r="3393" spans="1:5" x14ac:dyDescent="0.2">
      <c r="A3393">
        <v>10023117</v>
      </c>
      <c r="B3393">
        <v>28872262</v>
      </c>
      <c r="C3393">
        <v>1</v>
      </c>
      <c r="D3393" s="1" t="s">
        <v>861</v>
      </c>
      <c r="E3393">
        <v>9</v>
      </c>
    </row>
    <row r="3394" spans="1:5" x14ac:dyDescent="0.2">
      <c r="A3394">
        <v>10023117</v>
      </c>
      <c r="B3394">
        <v>28872262</v>
      </c>
      <c r="C3394">
        <v>11</v>
      </c>
      <c r="D3394" s="1" t="s">
        <v>715</v>
      </c>
      <c r="E3394">
        <v>9</v>
      </c>
    </row>
    <row r="3395" spans="1:5" x14ac:dyDescent="0.2">
      <c r="A3395">
        <v>10023117</v>
      </c>
      <c r="B3395">
        <v>28872262</v>
      </c>
      <c r="C3395">
        <v>6</v>
      </c>
      <c r="D3395" s="1" t="s">
        <v>525</v>
      </c>
      <c r="E3395">
        <v>9</v>
      </c>
    </row>
    <row r="3396" spans="1:5" x14ac:dyDescent="0.2">
      <c r="A3396">
        <v>10023117</v>
      </c>
      <c r="B3396">
        <v>28872262</v>
      </c>
      <c r="C3396">
        <v>4</v>
      </c>
      <c r="D3396" s="1" t="s">
        <v>1483</v>
      </c>
      <c r="E3396">
        <v>9</v>
      </c>
    </row>
    <row r="3397" spans="1:5" x14ac:dyDescent="0.2">
      <c r="A3397">
        <v>10023117</v>
      </c>
      <c r="B3397">
        <v>28872262</v>
      </c>
      <c r="C3397">
        <v>14</v>
      </c>
      <c r="D3397" s="1" t="s">
        <v>1484</v>
      </c>
      <c r="E3397">
        <v>9</v>
      </c>
    </row>
    <row r="3398" spans="1:5" x14ac:dyDescent="0.2">
      <c r="A3398">
        <v>10023117</v>
      </c>
      <c r="B3398">
        <v>28872262</v>
      </c>
      <c r="C3398">
        <v>10</v>
      </c>
      <c r="D3398" s="1" t="s">
        <v>649</v>
      </c>
      <c r="E3398">
        <v>9</v>
      </c>
    </row>
    <row r="3399" spans="1:5" x14ac:dyDescent="0.2">
      <c r="A3399">
        <v>10023117</v>
      </c>
      <c r="B3399">
        <v>29858644</v>
      </c>
      <c r="C3399">
        <v>10</v>
      </c>
      <c r="D3399" s="1" t="s">
        <v>420</v>
      </c>
      <c r="E3399">
        <v>9</v>
      </c>
    </row>
    <row r="3400" spans="1:5" x14ac:dyDescent="0.2">
      <c r="A3400">
        <v>10023117</v>
      </c>
      <c r="B3400">
        <v>29858644</v>
      </c>
      <c r="C3400">
        <v>1</v>
      </c>
      <c r="D3400" s="1" t="s">
        <v>861</v>
      </c>
      <c r="E3400">
        <v>9</v>
      </c>
    </row>
    <row r="3401" spans="1:5" x14ac:dyDescent="0.2">
      <c r="A3401">
        <v>10023117</v>
      </c>
      <c r="B3401">
        <v>29858644</v>
      </c>
      <c r="C3401">
        <v>5</v>
      </c>
      <c r="D3401" s="1" t="s">
        <v>499</v>
      </c>
      <c r="E3401">
        <v>9</v>
      </c>
    </row>
    <row r="3402" spans="1:5" x14ac:dyDescent="0.2">
      <c r="A3402">
        <v>10023117</v>
      </c>
      <c r="B3402">
        <v>29858644</v>
      </c>
      <c r="C3402">
        <v>6</v>
      </c>
      <c r="D3402" s="1" t="s">
        <v>862</v>
      </c>
      <c r="E3402">
        <v>9</v>
      </c>
    </row>
    <row r="3403" spans="1:5" x14ac:dyDescent="0.2">
      <c r="A3403">
        <v>10023117</v>
      </c>
      <c r="B3403">
        <v>29858644</v>
      </c>
      <c r="C3403">
        <v>8</v>
      </c>
      <c r="D3403" s="1" t="s">
        <v>416</v>
      </c>
      <c r="E3403">
        <v>9</v>
      </c>
    </row>
    <row r="3404" spans="1:5" x14ac:dyDescent="0.2">
      <c r="A3404">
        <v>10023117</v>
      </c>
      <c r="B3404">
        <v>29858644</v>
      </c>
      <c r="C3404">
        <v>4</v>
      </c>
      <c r="D3404" s="1" t="s">
        <v>649</v>
      </c>
      <c r="E3404">
        <v>9</v>
      </c>
    </row>
    <row r="3405" spans="1:5" x14ac:dyDescent="0.2">
      <c r="A3405">
        <v>10023117</v>
      </c>
      <c r="B3405">
        <v>29858644</v>
      </c>
      <c r="C3405">
        <v>3</v>
      </c>
      <c r="D3405" s="1" t="s">
        <v>1485</v>
      </c>
      <c r="E3405">
        <v>9</v>
      </c>
    </row>
    <row r="3406" spans="1:5" x14ac:dyDescent="0.2">
      <c r="A3406">
        <v>10023117</v>
      </c>
      <c r="B3406">
        <v>29858644</v>
      </c>
      <c r="C3406">
        <v>9</v>
      </c>
      <c r="D3406" s="1" t="s">
        <v>413</v>
      </c>
      <c r="E3406">
        <v>9</v>
      </c>
    </row>
    <row r="3407" spans="1:5" x14ac:dyDescent="0.2">
      <c r="A3407">
        <v>10023117</v>
      </c>
      <c r="B3407">
        <v>29858644</v>
      </c>
      <c r="C3407">
        <v>2</v>
      </c>
      <c r="D3407" s="1" t="s">
        <v>273</v>
      </c>
      <c r="E3407">
        <v>9</v>
      </c>
    </row>
    <row r="3408" spans="1:5" x14ac:dyDescent="0.2">
      <c r="A3408">
        <v>10023117</v>
      </c>
      <c r="B3408">
        <v>29858644</v>
      </c>
      <c r="C3408">
        <v>11</v>
      </c>
      <c r="D3408" s="1" t="s">
        <v>1486</v>
      </c>
      <c r="E3408">
        <v>9</v>
      </c>
    </row>
    <row r="3409" spans="1:5" x14ac:dyDescent="0.2">
      <c r="A3409">
        <v>10023117</v>
      </c>
      <c r="B3409">
        <v>29858644</v>
      </c>
      <c r="C3409">
        <v>7</v>
      </c>
      <c r="D3409" s="1" t="s">
        <v>382</v>
      </c>
      <c r="E3409">
        <v>9</v>
      </c>
    </row>
    <row r="3410" spans="1:5" x14ac:dyDescent="0.2">
      <c r="A3410">
        <v>10023117</v>
      </c>
      <c r="B3410">
        <v>28887654</v>
      </c>
      <c r="C3410">
        <v>5</v>
      </c>
      <c r="D3410" s="1" t="s">
        <v>1487</v>
      </c>
      <c r="E3410">
        <v>10</v>
      </c>
    </row>
    <row r="3411" spans="1:5" x14ac:dyDescent="0.2">
      <c r="A3411">
        <v>10023117</v>
      </c>
      <c r="B3411">
        <v>28887654</v>
      </c>
      <c r="C3411">
        <v>3</v>
      </c>
      <c r="D3411" s="1" t="s">
        <v>443</v>
      </c>
      <c r="E3411">
        <v>10</v>
      </c>
    </row>
    <row r="3412" spans="1:5" x14ac:dyDescent="0.2">
      <c r="A3412">
        <v>10023117</v>
      </c>
      <c r="B3412">
        <v>28887654</v>
      </c>
      <c r="C3412">
        <v>11</v>
      </c>
      <c r="D3412" s="1" t="s">
        <v>1070</v>
      </c>
      <c r="E3412">
        <v>10</v>
      </c>
    </row>
    <row r="3413" spans="1:5" x14ac:dyDescent="0.2">
      <c r="A3413">
        <v>10023117</v>
      </c>
      <c r="B3413">
        <v>28887654</v>
      </c>
      <c r="C3413">
        <v>18</v>
      </c>
      <c r="D3413" s="1" t="s">
        <v>312</v>
      </c>
      <c r="E3413">
        <v>10</v>
      </c>
    </row>
    <row r="3414" spans="1:5" x14ac:dyDescent="0.2">
      <c r="A3414">
        <v>10023117</v>
      </c>
      <c r="B3414">
        <v>28887654</v>
      </c>
      <c r="C3414">
        <v>8</v>
      </c>
      <c r="D3414" s="1" t="s">
        <v>737</v>
      </c>
      <c r="E3414">
        <v>10</v>
      </c>
    </row>
    <row r="3415" spans="1:5" x14ac:dyDescent="0.2">
      <c r="A3415">
        <v>10023117</v>
      </c>
      <c r="B3415">
        <v>28887654</v>
      </c>
      <c r="C3415">
        <v>1</v>
      </c>
      <c r="D3415" s="1" t="s">
        <v>879</v>
      </c>
      <c r="E3415">
        <v>10</v>
      </c>
    </row>
    <row r="3416" spans="1:5" x14ac:dyDescent="0.2">
      <c r="A3416">
        <v>10023117</v>
      </c>
      <c r="B3416">
        <v>28887654</v>
      </c>
      <c r="C3416">
        <v>13</v>
      </c>
      <c r="D3416" s="1" t="s">
        <v>1488</v>
      </c>
      <c r="E3416">
        <v>10</v>
      </c>
    </row>
    <row r="3417" spans="1:5" x14ac:dyDescent="0.2">
      <c r="A3417">
        <v>10023117</v>
      </c>
      <c r="B3417">
        <v>28887654</v>
      </c>
      <c r="C3417">
        <v>9</v>
      </c>
      <c r="D3417" s="1" t="s">
        <v>430</v>
      </c>
      <c r="E3417">
        <v>10</v>
      </c>
    </row>
    <row r="3418" spans="1:5" x14ac:dyDescent="0.2">
      <c r="A3418">
        <v>10023117</v>
      </c>
      <c r="B3418">
        <v>28887654</v>
      </c>
      <c r="C3418">
        <v>14</v>
      </c>
      <c r="D3418" s="1" t="s">
        <v>438</v>
      </c>
      <c r="E3418">
        <v>10</v>
      </c>
    </row>
    <row r="3419" spans="1:5" x14ac:dyDescent="0.2">
      <c r="A3419">
        <v>10023117</v>
      </c>
      <c r="B3419">
        <v>28887654</v>
      </c>
      <c r="C3419">
        <v>17</v>
      </c>
      <c r="D3419" s="1" t="s">
        <v>478</v>
      </c>
      <c r="E3419">
        <v>10</v>
      </c>
    </row>
    <row r="3420" spans="1:5" x14ac:dyDescent="0.2">
      <c r="A3420">
        <v>10023117</v>
      </c>
      <c r="B3420">
        <v>28887654</v>
      </c>
      <c r="C3420">
        <v>2</v>
      </c>
      <c r="D3420" s="1" t="s">
        <v>1489</v>
      </c>
      <c r="E3420">
        <v>10</v>
      </c>
    </row>
    <row r="3421" spans="1:5" x14ac:dyDescent="0.2">
      <c r="A3421">
        <v>10023117</v>
      </c>
      <c r="B3421">
        <v>28887654</v>
      </c>
      <c r="C3421">
        <v>15</v>
      </c>
      <c r="D3421" s="1" t="s">
        <v>377</v>
      </c>
      <c r="E3421">
        <v>10</v>
      </c>
    </row>
    <row r="3422" spans="1:5" x14ac:dyDescent="0.2">
      <c r="A3422">
        <v>10023117</v>
      </c>
      <c r="B3422">
        <v>28887654</v>
      </c>
      <c r="C3422">
        <v>10</v>
      </c>
      <c r="D3422" s="1" t="s">
        <v>873</v>
      </c>
      <c r="E3422">
        <v>10</v>
      </c>
    </row>
    <row r="3423" spans="1:5" x14ac:dyDescent="0.2">
      <c r="A3423">
        <v>10023117</v>
      </c>
      <c r="B3423">
        <v>28887654</v>
      </c>
      <c r="C3423">
        <v>16</v>
      </c>
      <c r="D3423" s="1" t="s">
        <v>434</v>
      </c>
      <c r="E3423">
        <v>10</v>
      </c>
    </row>
    <row r="3424" spans="1:5" x14ac:dyDescent="0.2">
      <c r="A3424">
        <v>10023117</v>
      </c>
      <c r="B3424">
        <v>28887654</v>
      </c>
      <c r="C3424">
        <v>4</v>
      </c>
      <c r="D3424" s="1" t="s">
        <v>1490</v>
      </c>
      <c r="E3424">
        <v>10</v>
      </c>
    </row>
    <row r="3425" spans="1:5" x14ac:dyDescent="0.2">
      <c r="A3425">
        <v>10023117</v>
      </c>
      <c r="B3425">
        <v>28887654</v>
      </c>
      <c r="C3425">
        <v>6</v>
      </c>
      <c r="D3425" s="1" t="s">
        <v>1491</v>
      </c>
      <c r="E3425">
        <v>10</v>
      </c>
    </row>
    <row r="3426" spans="1:5" x14ac:dyDescent="0.2">
      <c r="A3426">
        <v>10023117</v>
      </c>
      <c r="B3426">
        <v>28887654</v>
      </c>
      <c r="C3426">
        <v>7</v>
      </c>
      <c r="D3426" s="1" t="s">
        <v>621</v>
      </c>
      <c r="E3426">
        <v>10</v>
      </c>
    </row>
    <row r="3427" spans="1:5" x14ac:dyDescent="0.2">
      <c r="A3427">
        <v>10023117</v>
      </c>
      <c r="B3427">
        <v>28887654</v>
      </c>
      <c r="C3427">
        <v>12</v>
      </c>
      <c r="D3427" s="1" t="s">
        <v>329</v>
      </c>
      <c r="E3427">
        <v>10</v>
      </c>
    </row>
    <row r="3428" spans="1:5" x14ac:dyDescent="0.2">
      <c r="A3428">
        <v>10023117</v>
      </c>
      <c r="B3428">
        <v>21133938</v>
      </c>
      <c r="C3428">
        <v>4</v>
      </c>
      <c r="D3428" s="1" t="s">
        <v>1182</v>
      </c>
      <c r="E3428">
        <v>10</v>
      </c>
    </row>
    <row r="3429" spans="1:5" x14ac:dyDescent="0.2">
      <c r="A3429">
        <v>10023117</v>
      </c>
      <c r="B3429">
        <v>21133938</v>
      </c>
      <c r="C3429">
        <v>25</v>
      </c>
      <c r="D3429" s="1" t="s">
        <v>1147</v>
      </c>
      <c r="E3429">
        <v>10</v>
      </c>
    </row>
    <row r="3430" spans="1:5" x14ac:dyDescent="0.2">
      <c r="A3430">
        <v>10023117</v>
      </c>
      <c r="B3430">
        <v>21133938</v>
      </c>
      <c r="C3430">
        <v>16</v>
      </c>
      <c r="D3430" s="1" t="s">
        <v>737</v>
      </c>
      <c r="E3430">
        <v>10</v>
      </c>
    </row>
    <row r="3431" spans="1:5" x14ac:dyDescent="0.2">
      <c r="A3431">
        <v>10023117</v>
      </c>
      <c r="B3431">
        <v>21133938</v>
      </c>
      <c r="C3431">
        <v>30</v>
      </c>
      <c r="D3431" s="1" t="s">
        <v>1492</v>
      </c>
      <c r="E3431">
        <v>10</v>
      </c>
    </row>
    <row r="3432" spans="1:5" x14ac:dyDescent="0.2">
      <c r="A3432">
        <v>10023117</v>
      </c>
      <c r="B3432">
        <v>21133938</v>
      </c>
      <c r="C3432">
        <v>17</v>
      </c>
      <c r="D3432" s="1" t="s">
        <v>430</v>
      </c>
      <c r="E3432">
        <v>10</v>
      </c>
    </row>
    <row r="3433" spans="1:5" x14ac:dyDescent="0.2">
      <c r="A3433">
        <v>10023117</v>
      </c>
      <c r="B3433">
        <v>21133938</v>
      </c>
      <c r="C3433">
        <v>9</v>
      </c>
      <c r="D3433" s="1" t="s">
        <v>1348</v>
      </c>
      <c r="E3433">
        <v>10</v>
      </c>
    </row>
    <row r="3434" spans="1:5" x14ac:dyDescent="0.2">
      <c r="A3434">
        <v>10023117</v>
      </c>
      <c r="B3434">
        <v>21133938</v>
      </c>
      <c r="C3434">
        <v>10</v>
      </c>
      <c r="D3434" s="1" t="s">
        <v>1223</v>
      </c>
      <c r="E3434">
        <v>10</v>
      </c>
    </row>
    <row r="3435" spans="1:5" x14ac:dyDescent="0.2">
      <c r="A3435">
        <v>10023117</v>
      </c>
      <c r="B3435">
        <v>21133938</v>
      </c>
      <c r="C3435">
        <v>5</v>
      </c>
      <c r="D3435" s="1" t="s">
        <v>423</v>
      </c>
      <c r="E3435">
        <v>10</v>
      </c>
    </row>
    <row r="3436" spans="1:5" x14ac:dyDescent="0.2">
      <c r="A3436">
        <v>10023117</v>
      </c>
      <c r="B3436">
        <v>21133938</v>
      </c>
      <c r="C3436">
        <v>1</v>
      </c>
      <c r="D3436" s="1" t="s">
        <v>757</v>
      </c>
      <c r="E3436">
        <v>10</v>
      </c>
    </row>
    <row r="3437" spans="1:5" x14ac:dyDescent="0.2">
      <c r="A3437">
        <v>10023117</v>
      </c>
      <c r="B3437">
        <v>21133938</v>
      </c>
      <c r="C3437">
        <v>3</v>
      </c>
      <c r="D3437" s="1" t="s">
        <v>793</v>
      </c>
      <c r="E3437">
        <v>10</v>
      </c>
    </row>
    <row r="3438" spans="1:5" x14ac:dyDescent="0.2">
      <c r="A3438">
        <v>10023117</v>
      </c>
      <c r="B3438">
        <v>21133938</v>
      </c>
      <c r="C3438">
        <v>6</v>
      </c>
      <c r="D3438" s="1" t="s">
        <v>377</v>
      </c>
      <c r="E3438">
        <v>10</v>
      </c>
    </row>
    <row r="3439" spans="1:5" x14ac:dyDescent="0.2">
      <c r="A3439">
        <v>10023117</v>
      </c>
      <c r="B3439">
        <v>21133938</v>
      </c>
      <c r="C3439">
        <v>14</v>
      </c>
      <c r="D3439" s="1" t="s">
        <v>1493</v>
      </c>
      <c r="E3439">
        <v>10</v>
      </c>
    </row>
    <row r="3440" spans="1:5" x14ac:dyDescent="0.2">
      <c r="A3440">
        <v>10023117</v>
      </c>
      <c r="B3440">
        <v>21133938</v>
      </c>
      <c r="C3440">
        <v>21</v>
      </c>
      <c r="D3440" s="1" t="s">
        <v>312</v>
      </c>
      <c r="E3440">
        <v>10</v>
      </c>
    </row>
    <row r="3441" spans="1:5" x14ac:dyDescent="0.2">
      <c r="A3441">
        <v>10023117</v>
      </c>
      <c r="B3441">
        <v>21133938</v>
      </c>
      <c r="C3441">
        <v>19</v>
      </c>
      <c r="D3441" s="1" t="s">
        <v>329</v>
      </c>
      <c r="E3441">
        <v>10</v>
      </c>
    </row>
    <row r="3442" spans="1:5" x14ac:dyDescent="0.2">
      <c r="A3442">
        <v>10023117</v>
      </c>
      <c r="B3442">
        <v>21133938</v>
      </c>
      <c r="C3442">
        <v>29</v>
      </c>
      <c r="D3442" s="1" t="s">
        <v>1488</v>
      </c>
      <c r="E3442">
        <v>10</v>
      </c>
    </row>
    <row r="3443" spans="1:5" x14ac:dyDescent="0.2">
      <c r="A3443">
        <v>10023117</v>
      </c>
      <c r="B3443">
        <v>21133938</v>
      </c>
      <c r="C3443">
        <v>27</v>
      </c>
      <c r="D3443" s="1" t="s">
        <v>1024</v>
      </c>
      <c r="E3443">
        <v>10</v>
      </c>
    </row>
    <row r="3444" spans="1:5" x14ac:dyDescent="0.2">
      <c r="A3444">
        <v>10023117</v>
      </c>
      <c r="B3444">
        <v>21133938</v>
      </c>
      <c r="C3444">
        <v>7</v>
      </c>
      <c r="D3444" s="1" t="s">
        <v>1490</v>
      </c>
      <c r="E3444">
        <v>10</v>
      </c>
    </row>
    <row r="3445" spans="1:5" x14ac:dyDescent="0.2">
      <c r="A3445">
        <v>10023117</v>
      </c>
      <c r="B3445">
        <v>21133938</v>
      </c>
      <c r="C3445">
        <v>24</v>
      </c>
      <c r="D3445" s="1" t="s">
        <v>1102</v>
      </c>
      <c r="E3445">
        <v>10</v>
      </c>
    </row>
    <row r="3446" spans="1:5" x14ac:dyDescent="0.2">
      <c r="A3446">
        <v>10023117</v>
      </c>
      <c r="B3446">
        <v>21133938</v>
      </c>
      <c r="C3446">
        <v>12</v>
      </c>
      <c r="D3446" s="1" t="s">
        <v>443</v>
      </c>
      <c r="E3446">
        <v>10</v>
      </c>
    </row>
    <row r="3447" spans="1:5" x14ac:dyDescent="0.2">
      <c r="A3447">
        <v>10023117</v>
      </c>
      <c r="B3447">
        <v>21133938</v>
      </c>
      <c r="C3447">
        <v>20</v>
      </c>
      <c r="D3447" s="1" t="s">
        <v>438</v>
      </c>
      <c r="E3447">
        <v>10</v>
      </c>
    </row>
    <row r="3448" spans="1:5" x14ac:dyDescent="0.2">
      <c r="A3448">
        <v>10023117</v>
      </c>
      <c r="B3448">
        <v>21133938</v>
      </c>
      <c r="C3448">
        <v>28</v>
      </c>
      <c r="D3448" s="1" t="s">
        <v>425</v>
      </c>
      <c r="E3448">
        <v>10</v>
      </c>
    </row>
    <row r="3449" spans="1:5" x14ac:dyDescent="0.2">
      <c r="A3449">
        <v>10023117</v>
      </c>
      <c r="B3449">
        <v>21133938</v>
      </c>
      <c r="C3449">
        <v>15</v>
      </c>
      <c r="D3449" s="1" t="s">
        <v>621</v>
      </c>
      <c r="E3449">
        <v>10</v>
      </c>
    </row>
    <row r="3450" spans="1:5" x14ac:dyDescent="0.2">
      <c r="A3450">
        <v>10023117</v>
      </c>
      <c r="B3450">
        <v>21133938</v>
      </c>
      <c r="C3450">
        <v>8</v>
      </c>
      <c r="D3450" s="1" t="s">
        <v>1494</v>
      </c>
      <c r="E3450">
        <v>10</v>
      </c>
    </row>
    <row r="3451" spans="1:5" x14ac:dyDescent="0.2">
      <c r="A3451">
        <v>10023117</v>
      </c>
      <c r="B3451">
        <v>21133938</v>
      </c>
      <c r="C3451">
        <v>11</v>
      </c>
      <c r="D3451" s="1" t="s">
        <v>1495</v>
      </c>
      <c r="E3451">
        <v>10</v>
      </c>
    </row>
    <row r="3452" spans="1:5" x14ac:dyDescent="0.2">
      <c r="A3452">
        <v>10023117</v>
      </c>
      <c r="B3452">
        <v>21133938</v>
      </c>
      <c r="C3452">
        <v>26</v>
      </c>
      <c r="D3452" s="1" t="s">
        <v>1496</v>
      </c>
      <c r="E3452">
        <v>10</v>
      </c>
    </row>
    <row r="3453" spans="1:5" x14ac:dyDescent="0.2">
      <c r="A3453">
        <v>10023117</v>
      </c>
      <c r="B3453">
        <v>21133938</v>
      </c>
      <c r="C3453">
        <v>18</v>
      </c>
      <c r="D3453" s="1" t="s">
        <v>1070</v>
      </c>
      <c r="E3453">
        <v>10</v>
      </c>
    </row>
    <row r="3454" spans="1:5" x14ac:dyDescent="0.2">
      <c r="A3454">
        <v>10023117</v>
      </c>
      <c r="B3454">
        <v>21133938</v>
      </c>
      <c r="C3454">
        <v>13</v>
      </c>
      <c r="D3454" s="1" t="s">
        <v>890</v>
      </c>
      <c r="E3454">
        <v>10</v>
      </c>
    </row>
    <row r="3455" spans="1:5" x14ac:dyDescent="0.2">
      <c r="A3455">
        <v>10023117</v>
      </c>
      <c r="B3455">
        <v>21133938</v>
      </c>
      <c r="C3455">
        <v>22</v>
      </c>
      <c r="D3455" s="1" t="s">
        <v>1497</v>
      </c>
      <c r="E3455">
        <v>10</v>
      </c>
    </row>
    <row r="3456" spans="1:5" x14ac:dyDescent="0.2">
      <c r="A3456">
        <v>10023117</v>
      </c>
      <c r="B3456">
        <v>21133938</v>
      </c>
      <c r="C3456">
        <v>23</v>
      </c>
      <c r="D3456" s="1" t="s">
        <v>1498</v>
      </c>
      <c r="E3456">
        <v>10</v>
      </c>
    </row>
    <row r="3457" spans="1:5" x14ac:dyDescent="0.2">
      <c r="A3457">
        <v>10023117</v>
      </c>
      <c r="B3457">
        <v>21133938</v>
      </c>
      <c r="C3457">
        <v>2</v>
      </c>
      <c r="D3457" s="1" t="s">
        <v>614</v>
      </c>
      <c r="E3457">
        <v>10</v>
      </c>
    </row>
    <row r="3458" spans="1:5" x14ac:dyDescent="0.2">
      <c r="A3458">
        <v>10023117</v>
      </c>
      <c r="B3458">
        <v>24244087</v>
      </c>
      <c r="C3458">
        <v>23</v>
      </c>
      <c r="D3458" s="1" t="s">
        <v>382</v>
      </c>
      <c r="E3458">
        <v>9</v>
      </c>
    </row>
    <row r="3459" spans="1:5" x14ac:dyDescent="0.2">
      <c r="A3459">
        <v>10023117</v>
      </c>
      <c r="B3459">
        <v>24244087</v>
      </c>
      <c r="C3459">
        <v>1</v>
      </c>
      <c r="D3459" s="1" t="s">
        <v>273</v>
      </c>
      <c r="E3459">
        <v>9</v>
      </c>
    </row>
    <row r="3460" spans="1:5" x14ac:dyDescent="0.2">
      <c r="A3460">
        <v>10023117</v>
      </c>
      <c r="B3460">
        <v>24244087</v>
      </c>
      <c r="C3460">
        <v>11</v>
      </c>
      <c r="D3460" s="1" t="s">
        <v>649</v>
      </c>
      <c r="E3460">
        <v>9</v>
      </c>
    </row>
    <row r="3461" spans="1:5" x14ac:dyDescent="0.2">
      <c r="A3461">
        <v>10023117</v>
      </c>
      <c r="B3461">
        <v>24244087</v>
      </c>
      <c r="C3461">
        <v>6</v>
      </c>
      <c r="D3461" s="1" t="s">
        <v>1499</v>
      </c>
      <c r="E3461">
        <v>9</v>
      </c>
    </row>
    <row r="3462" spans="1:5" x14ac:dyDescent="0.2">
      <c r="A3462">
        <v>10023117</v>
      </c>
      <c r="B3462">
        <v>24244087</v>
      </c>
      <c r="C3462">
        <v>16</v>
      </c>
      <c r="D3462" s="1" t="s">
        <v>406</v>
      </c>
      <c r="E3462">
        <v>9</v>
      </c>
    </row>
    <row r="3463" spans="1:5" x14ac:dyDescent="0.2">
      <c r="A3463">
        <v>10023117</v>
      </c>
      <c r="B3463">
        <v>24244087</v>
      </c>
      <c r="C3463">
        <v>13</v>
      </c>
      <c r="D3463" s="1" t="s">
        <v>700</v>
      </c>
      <c r="E3463">
        <v>9</v>
      </c>
    </row>
    <row r="3464" spans="1:5" x14ac:dyDescent="0.2">
      <c r="A3464">
        <v>10023117</v>
      </c>
      <c r="B3464">
        <v>24244087</v>
      </c>
      <c r="C3464">
        <v>18</v>
      </c>
      <c r="D3464" s="1" t="s">
        <v>261</v>
      </c>
      <c r="E3464">
        <v>9</v>
      </c>
    </row>
    <row r="3465" spans="1:5" x14ac:dyDescent="0.2">
      <c r="A3465">
        <v>10023117</v>
      </c>
      <c r="B3465">
        <v>24244087</v>
      </c>
      <c r="C3465">
        <v>27</v>
      </c>
      <c r="D3465" s="1" t="s">
        <v>1500</v>
      </c>
      <c r="E3465">
        <v>9</v>
      </c>
    </row>
    <row r="3466" spans="1:5" x14ac:dyDescent="0.2">
      <c r="A3466">
        <v>10023117</v>
      </c>
      <c r="B3466">
        <v>24244087</v>
      </c>
      <c r="C3466">
        <v>26</v>
      </c>
      <c r="D3466" s="1" t="s">
        <v>359</v>
      </c>
      <c r="E3466">
        <v>9</v>
      </c>
    </row>
    <row r="3467" spans="1:5" x14ac:dyDescent="0.2">
      <c r="A3467">
        <v>10023117</v>
      </c>
      <c r="B3467">
        <v>24244087</v>
      </c>
      <c r="C3467">
        <v>12</v>
      </c>
      <c r="D3467" s="1" t="s">
        <v>413</v>
      </c>
      <c r="E3467">
        <v>9</v>
      </c>
    </row>
    <row r="3468" spans="1:5" x14ac:dyDescent="0.2">
      <c r="A3468">
        <v>10023117</v>
      </c>
      <c r="B3468">
        <v>24244087</v>
      </c>
      <c r="C3468">
        <v>8</v>
      </c>
      <c r="D3468" s="1" t="s">
        <v>1501</v>
      </c>
      <c r="E3468">
        <v>9</v>
      </c>
    </row>
    <row r="3469" spans="1:5" x14ac:dyDescent="0.2">
      <c r="A3469">
        <v>10023117</v>
      </c>
      <c r="B3469">
        <v>24244087</v>
      </c>
      <c r="C3469">
        <v>9</v>
      </c>
      <c r="D3469" s="1" t="s">
        <v>1485</v>
      </c>
      <c r="E3469">
        <v>9</v>
      </c>
    </row>
    <row r="3470" spans="1:5" x14ac:dyDescent="0.2">
      <c r="A3470">
        <v>10023117</v>
      </c>
      <c r="B3470">
        <v>24244087</v>
      </c>
      <c r="C3470">
        <v>2</v>
      </c>
      <c r="D3470" s="1" t="s">
        <v>861</v>
      </c>
      <c r="E3470">
        <v>9</v>
      </c>
    </row>
    <row r="3471" spans="1:5" x14ac:dyDescent="0.2">
      <c r="A3471">
        <v>10023117</v>
      </c>
      <c r="B3471">
        <v>24244087</v>
      </c>
      <c r="C3471">
        <v>7</v>
      </c>
      <c r="D3471" s="1" t="s">
        <v>390</v>
      </c>
      <c r="E3471">
        <v>9</v>
      </c>
    </row>
    <row r="3472" spans="1:5" x14ac:dyDescent="0.2">
      <c r="A3472">
        <v>10023117</v>
      </c>
      <c r="B3472">
        <v>24244087</v>
      </c>
      <c r="C3472">
        <v>19</v>
      </c>
      <c r="D3472" s="1" t="s">
        <v>293</v>
      </c>
      <c r="E3472">
        <v>9</v>
      </c>
    </row>
    <row r="3473" spans="1:5" x14ac:dyDescent="0.2">
      <c r="A3473">
        <v>10023117</v>
      </c>
      <c r="B3473">
        <v>24244087</v>
      </c>
      <c r="C3473">
        <v>24</v>
      </c>
      <c r="D3473" s="1" t="s">
        <v>1484</v>
      </c>
      <c r="E3473">
        <v>9</v>
      </c>
    </row>
    <row r="3474" spans="1:5" x14ac:dyDescent="0.2">
      <c r="A3474">
        <v>10023117</v>
      </c>
      <c r="B3474">
        <v>24244087</v>
      </c>
      <c r="C3474">
        <v>14</v>
      </c>
      <c r="D3474" s="1" t="s">
        <v>275</v>
      </c>
      <c r="E3474">
        <v>9</v>
      </c>
    </row>
    <row r="3475" spans="1:5" x14ac:dyDescent="0.2">
      <c r="A3475">
        <v>10023117</v>
      </c>
      <c r="B3475">
        <v>24244087</v>
      </c>
      <c r="C3475">
        <v>17</v>
      </c>
      <c r="D3475" s="1" t="s">
        <v>259</v>
      </c>
      <c r="E3475">
        <v>9</v>
      </c>
    </row>
    <row r="3476" spans="1:5" x14ac:dyDescent="0.2">
      <c r="A3476">
        <v>10023117</v>
      </c>
      <c r="B3476">
        <v>24244087</v>
      </c>
      <c r="C3476">
        <v>5</v>
      </c>
      <c r="D3476" s="1" t="s">
        <v>462</v>
      </c>
      <c r="E3476">
        <v>9</v>
      </c>
    </row>
    <row r="3477" spans="1:5" x14ac:dyDescent="0.2">
      <c r="A3477">
        <v>10023117</v>
      </c>
      <c r="B3477">
        <v>24244087</v>
      </c>
      <c r="C3477">
        <v>10</v>
      </c>
      <c r="D3477" s="1" t="s">
        <v>802</v>
      </c>
      <c r="E3477">
        <v>9</v>
      </c>
    </row>
    <row r="3478" spans="1:5" x14ac:dyDescent="0.2">
      <c r="A3478">
        <v>10023117</v>
      </c>
      <c r="B3478">
        <v>24244087</v>
      </c>
      <c r="C3478">
        <v>15</v>
      </c>
      <c r="D3478" s="1" t="s">
        <v>525</v>
      </c>
      <c r="E3478">
        <v>9</v>
      </c>
    </row>
    <row r="3479" spans="1:5" x14ac:dyDescent="0.2">
      <c r="A3479">
        <v>10023117</v>
      </c>
      <c r="B3479">
        <v>24244087</v>
      </c>
      <c r="C3479">
        <v>21</v>
      </c>
      <c r="D3479" s="1" t="s">
        <v>1335</v>
      </c>
      <c r="E3479">
        <v>9</v>
      </c>
    </row>
    <row r="3480" spans="1:5" x14ac:dyDescent="0.2">
      <c r="A3480">
        <v>10023117</v>
      </c>
      <c r="B3480">
        <v>24244087</v>
      </c>
      <c r="C3480">
        <v>25</v>
      </c>
      <c r="D3480" s="1" t="s">
        <v>1502</v>
      </c>
      <c r="E3480">
        <v>9</v>
      </c>
    </row>
    <row r="3481" spans="1:5" x14ac:dyDescent="0.2">
      <c r="A3481">
        <v>10023117</v>
      </c>
      <c r="B3481">
        <v>24244087</v>
      </c>
      <c r="C3481">
        <v>4</v>
      </c>
      <c r="D3481" s="1" t="s">
        <v>412</v>
      </c>
      <c r="E3481">
        <v>9</v>
      </c>
    </row>
    <row r="3482" spans="1:5" x14ac:dyDescent="0.2">
      <c r="A3482">
        <v>10023117</v>
      </c>
      <c r="B3482">
        <v>24244087</v>
      </c>
      <c r="C3482">
        <v>20</v>
      </c>
      <c r="D3482" s="1" t="s">
        <v>1503</v>
      </c>
      <c r="E3482">
        <v>9</v>
      </c>
    </row>
    <row r="3483" spans="1:5" x14ac:dyDescent="0.2">
      <c r="A3483">
        <v>10023117</v>
      </c>
      <c r="B3483">
        <v>24244087</v>
      </c>
      <c r="C3483">
        <v>22</v>
      </c>
      <c r="D3483" s="1" t="s">
        <v>515</v>
      </c>
      <c r="E3483">
        <v>9</v>
      </c>
    </row>
    <row r="3484" spans="1:5" x14ac:dyDescent="0.2">
      <c r="A3484">
        <v>10023117</v>
      </c>
      <c r="B3484">
        <v>24244087</v>
      </c>
      <c r="C3484">
        <v>3</v>
      </c>
      <c r="D3484" s="1" t="s">
        <v>548</v>
      </c>
      <c r="E3484">
        <v>9</v>
      </c>
    </row>
    <row r="3485" spans="1:5" x14ac:dyDescent="0.2">
      <c r="A3485">
        <v>10023117</v>
      </c>
      <c r="B3485">
        <v>21607814</v>
      </c>
      <c r="C3485">
        <v>24</v>
      </c>
      <c r="D3485" s="1" t="s">
        <v>1504</v>
      </c>
      <c r="E3485">
        <v>10</v>
      </c>
    </row>
    <row r="3486" spans="1:5" x14ac:dyDescent="0.2">
      <c r="A3486">
        <v>10023117</v>
      </c>
      <c r="B3486">
        <v>21607814</v>
      </c>
      <c r="C3486">
        <v>8</v>
      </c>
      <c r="D3486" s="1" t="s">
        <v>377</v>
      </c>
      <c r="E3486">
        <v>10</v>
      </c>
    </row>
    <row r="3487" spans="1:5" x14ac:dyDescent="0.2">
      <c r="A3487">
        <v>10023117</v>
      </c>
      <c r="B3487">
        <v>21607814</v>
      </c>
      <c r="C3487">
        <v>9</v>
      </c>
      <c r="D3487" s="1" t="s">
        <v>1505</v>
      </c>
      <c r="E3487">
        <v>10</v>
      </c>
    </row>
    <row r="3488" spans="1:5" x14ac:dyDescent="0.2">
      <c r="A3488">
        <v>10023117</v>
      </c>
      <c r="B3488">
        <v>21607814</v>
      </c>
      <c r="C3488">
        <v>10</v>
      </c>
      <c r="D3488" s="1" t="s">
        <v>1490</v>
      </c>
      <c r="E3488">
        <v>10</v>
      </c>
    </row>
    <row r="3489" spans="1:5" x14ac:dyDescent="0.2">
      <c r="A3489">
        <v>10023117</v>
      </c>
      <c r="B3489">
        <v>21607814</v>
      </c>
      <c r="C3489">
        <v>6</v>
      </c>
      <c r="D3489" s="1" t="s">
        <v>423</v>
      </c>
      <c r="E3489">
        <v>10</v>
      </c>
    </row>
    <row r="3490" spans="1:5" x14ac:dyDescent="0.2">
      <c r="A3490">
        <v>10023117</v>
      </c>
      <c r="B3490">
        <v>21607814</v>
      </c>
      <c r="C3490">
        <v>17</v>
      </c>
      <c r="D3490" s="1" t="s">
        <v>333</v>
      </c>
      <c r="E3490">
        <v>10</v>
      </c>
    </row>
    <row r="3491" spans="1:5" x14ac:dyDescent="0.2">
      <c r="A3491">
        <v>10023117</v>
      </c>
      <c r="B3491">
        <v>21607814</v>
      </c>
      <c r="C3491">
        <v>20</v>
      </c>
      <c r="D3491" s="1" t="s">
        <v>434</v>
      </c>
      <c r="E3491">
        <v>10</v>
      </c>
    </row>
    <row r="3492" spans="1:5" x14ac:dyDescent="0.2">
      <c r="A3492">
        <v>10023117</v>
      </c>
      <c r="B3492">
        <v>21607814</v>
      </c>
      <c r="C3492">
        <v>2</v>
      </c>
      <c r="D3492" s="1" t="s">
        <v>1506</v>
      </c>
      <c r="E3492">
        <v>10</v>
      </c>
    </row>
    <row r="3493" spans="1:5" x14ac:dyDescent="0.2">
      <c r="A3493">
        <v>10023117</v>
      </c>
      <c r="B3493">
        <v>21607814</v>
      </c>
      <c r="C3493">
        <v>19</v>
      </c>
      <c r="D3493" s="1" t="s">
        <v>478</v>
      </c>
      <c r="E3493">
        <v>10</v>
      </c>
    </row>
    <row r="3494" spans="1:5" x14ac:dyDescent="0.2">
      <c r="A3494">
        <v>10023117</v>
      </c>
      <c r="B3494">
        <v>21607814</v>
      </c>
      <c r="C3494">
        <v>16</v>
      </c>
      <c r="D3494" s="1" t="s">
        <v>890</v>
      </c>
      <c r="E3494">
        <v>10</v>
      </c>
    </row>
    <row r="3495" spans="1:5" x14ac:dyDescent="0.2">
      <c r="A3495">
        <v>10023117</v>
      </c>
      <c r="B3495">
        <v>21607814</v>
      </c>
      <c r="C3495">
        <v>21</v>
      </c>
      <c r="D3495" s="1" t="s">
        <v>1488</v>
      </c>
      <c r="E3495">
        <v>10</v>
      </c>
    </row>
    <row r="3496" spans="1:5" x14ac:dyDescent="0.2">
      <c r="A3496">
        <v>10023117</v>
      </c>
      <c r="B3496">
        <v>21607814</v>
      </c>
      <c r="C3496">
        <v>26</v>
      </c>
      <c r="D3496" s="1" t="s">
        <v>733</v>
      </c>
      <c r="E3496">
        <v>10</v>
      </c>
    </row>
    <row r="3497" spans="1:5" x14ac:dyDescent="0.2">
      <c r="A3497">
        <v>10023117</v>
      </c>
      <c r="B3497">
        <v>21607814</v>
      </c>
      <c r="C3497">
        <v>11</v>
      </c>
      <c r="D3497" s="1" t="s">
        <v>873</v>
      </c>
      <c r="E3497">
        <v>10</v>
      </c>
    </row>
    <row r="3498" spans="1:5" x14ac:dyDescent="0.2">
      <c r="A3498">
        <v>10023117</v>
      </c>
      <c r="B3498">
        <v>21607814</v>
      </c>
      <c r="C3498">
        <v>15</v>
      </c>
      <c r="D3498" s="1" t="s">
        <v>737</v>
      </c>
      <c r="E3498">
        <v>10</v>
      </c>
    </row>
    <row r="3499" spans="1:5" x14ac:dyDescent="0.2">
      <c r="A3499">
        <v>10023117</v>
      </c>
      <c r="B3499">
        <v>21607814</v>
      </c>
      <c r="C3499">
        <v>18</v>
      </c>
      <c r="D3499" s="1" t="s">
        <v>1070</v>
      </c>
      <c r="E3499">
        <v>10</v>
      </c>
    </row>
    <row r="3500" spans="1:5" x14ac:dyDescent="0.2">
      <c r="A3500">
        <v>10023117</v>
      </c>
      <c r="B3500">
        <v>21607814</v>
      </c>
      <c r="C3500">
        <v>5</v>
      </c>
      <c r="D3500" s="1" t="s">
        <v>325</v>
      </c>
      <c r="E3500">
        <v>10</v>
      </c>
    </row>
    <row r="3501" spans="1:5" x14ac:dyDescent="0.2">
      <c r="A3501">
        <v>10023117</v>
      </c>
      <c r="B3501">
        <v>21607814</v>
      </c>
      <c r="C3501">
        <v>4</v>
      </c>
      <c r="D3501" s="1" t="s">
        <v>1223</v>
      </c>
      <c r="E3501">
        <v>10</v>
      </c>
    </row>
    <row r="3502" spans="1:5" x14ac:dyDescent="0.2">
      <c r="A3502">
        <v>10023117</v>
      </c>
      <c r="B3502">
        <v>21607814</v>
      </c>
      <c r="C3502">
        <v>22</v>
      </c>
      <c r="D3502" s="1" t="s">
        <v>752</v>
      </c>
      <c r="E3502">
        <v>10</v>
      </c>
    </row>
    <row r="3503" spans="1:5" x14ac:dyDescent="0.2">
      <c r="A3503">
        <v>10023117</v>
      </c>
      <c r="B3503">
        <v>21607814</v>
      </c>
      <c r="C3503">
        <v>25</v>
      </c>
      <c r="D3503" s="1" t="s">
        <v>1215</v>
      </c>
      <c r="E3503">
        <v>10</v>
      </c>
    </row>
    <row r="3504" spans="1:5" x14ac:dyDescent="0.2">
      <c r="A3504">
        <v>10023117</v>
      </c>
      <c r="B3504">
        <v>21607814</v>
      </c>
      <c r="C3504">
        <v>27</v>
      </c>
      <c r="D3504" s="1" t="s">
        <v>563</v>
      </c>
      <c r="E3504">
        <v>10</v>
      </c>
    </row>
    <row r="3505" spans="1:5" x14ac:dyDescent="0.2">
      <c r="A3505">
        <v>10023117</v>
      </c>
      <c r="B3505">
        <v>21607814</v>
      </c>
      <c r="C3505">
        <v>1</v>
      </c>
      <c r="D3505" s="1" t="s">
        <v>879</v>
      </c>
      <c r="E3505">
        <v>10</v>
      </c>
    </row>
    <row r="3506" spans="1:5" x14ac:dyDescent="0.2">
      <c r="A3506">
        <v>10023117</v>
      </c>
      <c r="B3506">
        <v>21607814</v>
      </c>
      <c r="C3506">
        <v>12</v>
      </c>
      <c r="D3506" s="1" t="s">
        <v>329</v>
      </c>
      <c r="E3506">
        <v>10</v>
      </c>
    </row>
    <row r="3507" spans="1:5" x14ac:dyDescent="0.2">
      <c r="A3507">
        <v>10023117</v>
      </c>
      <c r="B3507">
        <v>21607814</v>
      </c>
      <c r="C3507">
        <v>14</v>
      </c>
      <c r="D3507" s="1" t="s">
        <v>621</v>
      </c>
      <c r="E3507">
        <v>10</v>
      </c>
    </row>
    <row r="3508" spans="1:5" x14ac:dyDescent="0.2">
      <c r="A3508">
        <v>10023117</v>
      </c>
      <c r="B3508">
        <v>21607814</v>
      </c>
      <c r="C3508">
        <v>23</v>
      </c>
      <c r="D3508" s="1" t="s">
        <v>430</v>
      </c>
      <c r="E3508">
        <v>10</v>
      </c>
    </row>
    <row r="3509" spans="1:5" x14ac:dyDescent="0.2">
      <c r="A3509">
        <v>10023117</v>
      </c>
      <c r="B3509">
        <v>21607814</v>
      </c>
      <c r="C3509">
        <v>7</v>
      </c>
      <c r="D3509" s="1" t="s">
        <v>891</v>
      </c>
      <c r="E3509">
        <v>10</v>
      </c>
    </row>
    <row r="3510" spans="1:5" x14ac:dyDescent="0.2">
      <c r="A3510">
        <v>10023117</v>
      </c>
      <c r="B3510">
        <v>21607814</v>
      </c>
      <c r="C3510">
        <v>13</v>
      </c>
      <c r="D3510" s="1" t="s">
        <v>438</v>
      </c>
      <c r="E3510">
        <v>10</v>
      </c>
    </row>
    <row r="3511" spans="1:5" x14ac:dyDescent="0.2">
      <c r="A3511">
        <v>10023117</v>
      </c>
      <c r="B3511">
        <v>21607814</v>
      </c>
      <c r="C3511">
        <v>3</v>
      </c>
      <c r="D3511" s="1" t="s">
        <v>757</v>
      </c>
      <c r="E3511">
        <v>10</v>
      </c>
    </row>
    <row r="3512" spans="1:5" x14ac:dyDescent="0.2">
      <c r="A3512">
        <v>10038992</v>
      </c>
      <c r="B3512">
        <v>22797747</v>
      </c>
      <c r="C3512">
        <v>8</v>
      </c>
      <c r="D3512" s="1" t="s">
        <v>486</v>
      </c>
      <c r="E3512">
        <v>9</v>
      </c>
    </row>
    <row r="3513" spans="1:5" x14ac:dyDescent="0.2">
      <c r="A3513">
        <v>10038992</v>
      </c>
      <c r="B3513">
        <v>22797747</v>
      </c>
      <c r="C3513">
        <v>15</v>
      </c>
      <c r="D3513" s="1" t="s">
        <v>660</v>
      </c>
      <c r="E3513">
        <v>9</v>
      </c>
    </row>
    <row r="3514" spans="1:5" x14ac:dyDescent="0.2">
      <c r="A3514">
        <v>10038992</v>
      </c>
      <c r="B3514">
        <v>22797747</v>
      </c>
      <c r="C3514">
        <v>24</v>
      </c>
      <c r="D3514" s="1" t="s">
        <v>269</v>
      </c>
      <c r="E3514">
        <v>9</v>
      </c>
    </row>
    <row r="3515" spans="1:5" x14ac:dyDescent="0.2">
      <c r="A3515">
        <v>10038992</v>
      </c>
      <c r="B3515">
        <v>22797747</v>
      </c>
      <c r="C3515">
        <v>4</v>
      </c>
      <c r="D3515" s="1" t="s">
        <v>1253</v>
      </c>
      <c r="E3515">
        <v>9</v>
      </c>
    </row>
    <row r="3516" spans="1:5" x14ac:dyDescent="0.2">
      <c r="A3516">
        <v>10038992</v>
      </c>
      <c r="B3516">
        <v>22797747</v>
      </c>
      <c r="C3516">
        <v>6</v>
      </c>
      <c r="D3516" s="1" t="s">
        <v>852</v>
      </c>
      <c r="E3516">
        <v>9</v>
      </c>
    </row>
    <row r="3517" spans="1:5" x14ac:dyDescent="0.2">
      <c r="A3517">
        <v>10038992</v>
      </c>
      <c r="B3517">
        <v>22797747</v>
      </c>
      <c r="C3517">
        <v>13</v>
      </c>
      <c r="D3517" s="1" t="s">
        <v>633</v>
      </c>
      <c r="E3517">
        <v>9</v>
      </c>
    </row>
    <row r="3518" spans="1:5" x14ac:dyDescent="0.2">
      <c r="A3518">
        <v>10038992</v>
      </c>
      <c r="B3518">
        <v>22797747</v>
      </c>
      <c r="C3518">
        <v>11</v>
      </c>
      <c r="D3518" s="1" t="s">
        <v>713</v>
      </c>
      <c r="E3518">
        <v>9</v>
      </c>
    </row>
    <row r="3519" spans="1:5" x14ac:dyDescent="0.2">
      <c r="A3519">
        <v>10038992</v>
      </c>
      <c r="B3519">
        <v>22797747</v>
      </c>
      <c r="C3519">
        <v>7</v>
      </c>
      <c r="D3519" s="1" t="s">
        <v>412</v>
      </c>
      <c r="E3519">
        <v>9</v>
      </c>
    </row>
    <row r="3520" spans="1:5" x14ac:dyDescent="0.2">
      <c r="A3520">
        <v>10038992</v>
      </c>
      <c r="B3520">
        <v>22797747</v>
      </c>
      <c r="C3520">
        <v>28</v>
      </c>
      <c r="D3520" s="1" t="s">
        <v>406</v>
      </c>
      <c r="E3520">
        <v>9</v>
      </c>
    </row>
    <row r="3521" spans="1:5" x14ac:dyDescent="0.2">
      <c r="A3521">
        <v>10038992</v>
      </c>
      <c r="B3521">
        <v>22797747</v>
      </c>
      <c r="C3521">
        <v>19</v>
      </c>
      <c r="D3521" s="1" t="s">
        <v>1507</v>
      </c>
      <c r="E3521">
        <v>9</v>
      </c>
    </row>
    <row r="3522" spans="1:5" x14ac:dyDescent="0.2">
      <c r="A3522">
        <v>10038992</v>
      </c>
      <c r="B3522">
        <v>22797747</v>
      </c>
      <c r="C3522">
        <v>29</v>
      </c>
      <c r="D3522" s="1" t="s">
        <v>384</v>
      </c>
      <c r="E3522">
        <v>9</v>
      </c>
    </row>
    <row r="3523" spans="1:5" x14ac:dyDescent="0.2">
      <c r="A3523">
        <v>10038992</v>
      </c>
      <c r="B3523">
        <v>22797747</v>
      </c>
      <c r="C3523">
        <v>23</v>
      </c>
      <c r="D3523" s="1" t="s">
        <v>388</v>
      </c>
      <c r="E3523">
        <v>9</v>
      </c>
    </row>
    <row r="3524" spans="1:5" x14ac:dyDescent="0.2">
      <c r="A3524">
        <v>10038992</v>
      </c>
      <c r="B3524">
        <v>22797747</v>
      </c>
      <c r="C3524">
        <v>12</v>
      </c>
      <c r="D3524" s="1" t="s">
        <v>400</v>
      </c>
      <c r="E3524">
        <v>9</v>
      </c>
    </row>
    <row r="3525" spans="1:5" x14ac:dyDescent="0.2">
      <c r="A3525">
        <v>10038992</v>
      </c>
      <c r="B3525">
        <v>22797747</v>
      </c>
      <c r="C3525">
        <v>1</v>
      </c>
      <c r="D3525" s="1" t="s">
        <v>392</v>
      </c>
      <c r="E3525">
        <v>9</v>
      </c>
    </row>
    <row r="3526" spans="1:5" x14ac:dyDescent="0.2">
      <c r="A3526">
        <v>10038992</v>
      </c>
      <c r="B3526">
        <v>22797747</v>
      </c>
      <c r="C3526">
        <v>16</v>
      </c>
      <c r="D3526" s="1" t="s">
        <v>274</v>
      </c>
      <c r="E3526">
        <v>9</v>
      </c>
    </row>
    <row r="3527" spans="1:5" x14ac:dyDescent="0.2">
      <c r="A3527">
        <v>10038992</v>
      </c>
      <c r="B3527">
        <v>22797747</v>
      </c>
      <c r="C3527">
        <v>22</v>
      </c>
      <c r="D3527" s="1" t="s">
        <v>1508</v>
      </c>
      <c r="E3527">
        <v>9</v>
      </c>
    </row>
    <row r="3528" spans="1:5" x14ac:dyDescent="0.2">
      <c r="A3528">
        <v>10038992</v>
      </c>
      <c r="B3528">
        <v>22797747</v>
      </c>
      <c r="C3528">
        <v>21</v>
      </c>
      <c r="D3528" s="1" t="s">
        <v>382</v>
      </c>
      <c r="E3528">
        <v>9</v>
      </c>
    </row>
    <row r="3529" spans="1:5" x14ac:dyDescent="0.2">
      <c r="A3529">
        <v>10038992</v>
      </c>
      <c r="B3529">
        <v>22797747</v>
      </c>
      <c r="C3529">
        <v>30</v>
      </c>
      <c r="D3529" s="1" t="s">
        <v>1509</v>
      </c>
      <c r="E3529">
        <v>9</v>
      </c>
    </row>
    <row r="3530" spans="1:5" x14ac:dyDescent="0.2">
      <c r="A3530">
        <v>10038992</v>
      </c>
      <c r="B3530">
        <v>22797747</v>
      </c>
      <c r="C3530">
        <v>9</v>
      </c>
      <c r="D3530" s="1" t="s">
        <v>649</v>
      </c>
      <c r="E3530">
        <v>9</v>
      </c>
    </row>
    <row r="3531" spans="1:5" x14ac:dyDescent="0.2">
      <c r="A3531">
        <v>10038992</v>
      </c>
      <c r="B3531">
        <v>22797747</v>
      </c>
      <c r="C3531">
        <v>10</v>
      </c>
      <c r="D3531" s="1" t="s">
        <v>688</v>
      </c>
      <c r="E3531">
        <v>9</v>
      </c>
    </row>
    <row r="3532" spans="1:5" x14ac:dyDescent="0.2">
      <c r="A3532">
        <v>10038992</v>
      </c>
      <c r="B3532">
        <v>22797747</v>
      </c>
      <c r="C3532">
        <v>14</v>
      </c>
      <c r="D3532" s="1" t="s">
        <v>295</v>
      </c>
      <c r="E3532">
        <v>9</v>
      </c>
    </row>
    <row r="3533" spans="1:5" x14ac:dyDescent="0.2">
      <c r="A3533">
        <v>10038992</v>
      </c>
      <c r="B3533">
        <v>22797747</v>
      </c>
      <c r="C3533">
        <v>20</v>
      </c>
      <c r="D3533" s="1" t="s">
        <v>510</v>
      </c>
      <c r="E3533">
        <v>9</v>
      </c>
    </row>
    <row r="3534" spans="1:5" x14ac:dyDescent="0.2">
      <c r="A3534">
        <v>10038992</v>
      </c>
      <c r="B3534">
        <v>22797747</v>
      </c>
      <c r="C3534">
        <v>27</v>
      </c>
      <c r="D3534" s="1" t="s">
        <v>1510</v>
      </c>
      <c r="E3534">
        <v>9</v>
      </c>
    </row>
    <row r="3535" spans="1:5" x14ac:dyDescent="0.2">
      <c r="A3535">
        <v>10038992</v>
      </c>
      <c r="B3535">
        <v>22797747</v>
      </c>
      <c r="C3535">
        <v>18</v>
      </c>
      <c r="D3535" s="1" t="s">
        <v>1511</v>
      </c>
      <c r="E3535">
        <v>9</v>
      </c>
    </row>
    <row r="3536" spans="1:5" x14ac:dyDescent="0.2">
      <c r="A3536">
        <v>10038992</v>
      </c>
      <c r="B3536">
        <v>22797747</v>
      </c>
      <c r="C3536">
        <v>2</v>
      </c>
      <c r="D3536" s="1" t="s">
        <v>454</v>
      </c>
      <c r="E3536">
        <v>9</v>
      </c>
    </row>
    <row r="3537" spans="1:5" x14ac:dyDescent="0.2">
      <c r="A3537">
        <v>10038992</v>
      </c>
      <c r="B3537">
        <v>22797747</v>
      </c>
      <c r="C3537">
        <v>26</v>
      </c>
      <c r="D3537" s="1" t="s">
        <v>1512</v>
      </c>
      <c r="E3537">
        <v>9</v>
      </c>
    </row>
    <row r="3538" spans="1:5" x14ac:dyDescent="0.2">
      <c r="A3538">
        <v>10038992</v>
      </c>
      <c r="B3538">
        <v>22797747</v>
      </c>
      <c r="C3538">
        <v>17</v>
      </c>
      <c r="D3538" s="1" t="s">
        <v>416</v>
      </c>
      <c r="E3538">
        <v>9</v>
      </c>
    </row>
    <row r="3539" spans="1:5" x14ac:dyDescent="0.2">
      <c r="A3539">
        <v>10038992</v>
      </c>
      <c r="B3539">
        <v>22797747</v>
      </c>
      <c r="C3539">
        <v>25</v>
      </c>
      <c r="D3539" s="1" t="s">
        <v>1513</v>
      </c>
      <c r="E3539">
        <v>9</v>
      </c>
    </row>
    <row r="3540" spans="1:5" x14ac:dyDescent="0.2">
      <c r="A3540">
        <v>10038992</v>
      </c>
      <c r="B3540">
        <v>22797747</v>
      </c>
      <c r="C3540">
        <v>31</v>
      </c>
      <c r="D3540" s="1" t="s">
        <v>1514</v>
      </c>
      <c r="E3540">
        <v>9</v>
      </c>
    </row>
    <row r="3541" spans="1:5" x14ac:dyDescent="0.2">
      <c r="A3541">
        <v>10038992</v>
      </c>
      <c r="B3541">
        <v>22797747</v>
      </c>
      <c r="C3541">
        <v>5</v>
      </c>
      <c r="D3541" s="1" t="s">
        <v>381</v>
      </c>
      <c r="E3541">
        <v>9</v>
      </c>
    </row>
    <row r="3542" spans="1:5" x14ac:dyDescent="0.2">
      <c r="A3542">
        <v>10038992</v>
      </c>
      <c r="B3542">
        <v>22797747</v>
      </c>
      <c r="C3542">
        <v>3</v>
      </c>
      <c r="D3542" s="1" t="s">
        <v>389</v>
      </c>
      <c r="E3542">
        <v>9</v>
      </c>
    </row>
    <row r="3543" spans="1:5" x14ac:dyDescent="0.2">
      <c r="A3543">
        <v>10038992</v>
      </c>
      <c r="B3543">
        <v>24745425</v>
      </c>
      <c r="C3543">
        <v>3</v>
      </c>
      <c r="D3543" s="1" t="s">
        <v>309</v>
      </c>
      <c r="E3543">
        <v>10</v>
      </c>
    </row>
    <row r="3544" spans="1:5" x14ac:dyDescent="0.2">
      <c r="A3544">
        <v>10038992</v>
      </c>
      <c r="B3544">
        <v>24745425</v>
      </c>
      <c r="C3544">
        <v>5</v>
      </c>
      <c r="D3544" s="1" t="s">
        <v>867</v>
      </c>
      <c r="E3544">
        <v>10</v>
      </c>
    </row>
    <row r="3545" spans="1:5" x14ac:dyDescent="0.2">
      <c r="A3545">
        <v>10038992</v>
      </c>
      <c r="B3545">
        <v>24745425</v>
      </c>
      <c r="C3545">
        <v>13</v>
      </c>
      <c r="D3545" s="1" t="s">
        <v>1102</v>
      </c>
      <c r="E3545">
        <v>10</v>
      </c>
    </row>
    <row r="3546" spans="1:5" x14ac:dyDescent="0.2">
      <c r="A3546">
        <v>10038992</v>
      </c>
      <c r="B3546">
        <v>24745425</v>
      </c>
      <c r="C3546">
        <v>6</v>
      </c>
      <c r="D3546" s="1" t="s">
        <v>630</v>
      </c>
      <c r="E3546">
        <v>10</v>
      </c>
    </row>
    <row r="3547" spans="1:5" x14ac:dyDescent="0.2">
      <c r="A3547">
        <v>10038992</v>
      </c>
      <c r="B3547">
        <v>24745425</v>
      </c>
      <c r="C3547">
        <v>8</v>
      </c>
      <c r="D3547" s="1" t="s">
        <v>932</v>
      </c>
      <c r="E3547">
        <v>10</v>
      </c>
    </row>
    <row r="3548" spans="1:5" x14ac:dyDescent="0.2">
      <c r="A3548">
        <v>10038992</v>
      </c>
      <c r="B3548">
        <v>24745425</v>
      </c>
      <c r="C3548">
        <v>10</v>
      </c>
      <c r="D3548" s="1" t="s">
        <v>558</v>
      </c>
      <c r="E3548">
        <v>10</v>
      </c>
    </row>
    <row r="3549" spans="1:5" x14ac:dyDescent="0.2">
      <c r="A3549">
        <v>10038992</v>
      </c>
      <c r="B3549">
        <v>24745425</v>
      </c>
      <c r="C3549">
        <v>4</v>
      </c>
      <c r="D3549" s="1" t="s">
        <v>443</v>
      </c>
      <c r="E3549">
        <v>10</v>
      </c>
    </row>
    <row r="3550" spans="1:5" x14ac:dyDescent="0.2">
      <c r="A3550">
        <v>10038992</v>
      </c>
      <c r="B3550">
        <v>24745425</v>
      </c>
      <c r="C3550">
        <v>1</v>
      </c>
      <c r="D3550" s="1" t="s">
        <v>1515</v>
      </c>
      <c r="E3550">
        <v>10</v>
      </c>
    </row>
    <row r="3551" spans="1:5" x14ac:dyDescent="0.2">
      <c r="A3551">
        <v>10038992</v>
      </c>
      <c r="B3551">
        <v>24745425</v>
      </c>
      <c r="C3551">
        <v>17</v>
      </c>
      <c r="D3551" s="1" t="s">
        <v>1355</v>
      </c>
      <c r="E3551">
        <v>10</v>
      </c>
    </row>
    <row r="3552" spans="1:5" x14ac:dyDescent="0.2">
      <c r="A3552">
        <v>10038992</v>
      </c>
      <c r="B3552">
        <v>24745425</v>
      </c>
      <c r="C3552">
        <v>15</v>
      </c>
      <c r="D3552" s="1" t="s">
        <v>378</v>
      </c>
      <c r="E3552">
        <v>10</v>
      </c>
    </row>
    <row r="3553" spans="1:5" x14ac:dyDescent="0.2">
      <c r="A3553">
        <v>10038992</v>
      </c>
      <c r="B3553">
        <v>24745425</v>
      </c>
      <c r="C3553">
        <v>12</v>
      </c>
      <c r="D3553" s="1" t="s">
        <v>1079</v>
      </c>
      <c r="E3553">
        <v>10</v>
      </c>
    </row>
    <row r="3554" spans="1:5" x14ac:dyDescent="0.2">
      <c r="A3554">
        <v>10038992</v>
      </c>
      <c r="B3554">
        <v>24745425</v>
      </c>
      <c r="C3554">
        <v>2</v>
      </c>
      <c r="D3554" s="1" t="s">
        <v>1506</v>
      </c>
      <c r="E3554">
        <v>10</v>
      </c>
    </row>
    <row r="3555" spans="1:5" x14ac:dyDescent="0.2">
      <c r="A3555">
        <v>10038992</v>
      </c>
      <c r="B3555">
        <v>24745425</v>
      </c>
      <c r="C3555">
        <v>11</v>
      </c>
      <c r="D3555" s="1" t="s">
        <v>329</v>
      </c>
      <c r="E3555">
        <v>10</v>
      </c>
    </row>
    <row r="3556" spans="1:5" x14ac:dyDescent="0.2">
      <c r="A3556">
        <v>10038992</v>
      </c>
      <c r="B3556">
        <v>24745425</v>
      </c>
      <c r="C3556">
        <v>14</v>
      </c>
      <c r="D3556" s="1" t="s">
        <v>560</v>
      </c>
      <c r="E3556">
        <v>10</v>
      </c>
    </row>
    <row r="3557" spans="1:5" x14ac:dyDescent="0.2">
      <c r="A3557">
        <v>10038992</v>
      </c>
      <c r="B3557">
        <v>24745425</v>
      </c>
      <c r="C3557">
        <v>16</v>
      </c>
      <c r="D3557" s="1" t="s">
        <v>430</v>
      </c>
      <c r="E3557">
        <v>10</v>
      </c>
    </row>
    <row r="3558" spans="1:5" x14ac:dyDescent="0.2">
      <c r="A3558">
        <v>10038992</v>
      </c>
      <c r="B3558">
        <v>24745425</v>
      </c>
      <c r="C3558">
        <v>9</v>
      </c>
      <c r="D3558" s="1" t="s">
        <v>334</v>
      </c>
      <c r="E3558">
        <v>10</v>
      </c>
    </row>
    <row r="3559" spans="1:5" x14ac:dyDescent="0.2">
      <c r="A3559">
        <v>10038992</v>
      </c>
      <c r="B3559">
        <v>24745425</v>
      </c>
      <c r="C3559">
        <v>7</v>
      </c>
      <c r="D3559" s="1" t="s">
        <v>447</v>
      </c>
      <c r="E3559">
        <v>10</v>
      </c>
    </row>
    <row r="3560" spans="1:5" x14ac:dyDescent="0.2">
      <c r="A3560">
        <v>10020306</v>
      </c>
      <c r="B3560">
        <v>28778757</v>
      </c>
      <c r="C3560">
        <v>5</v>
      </c>
      <c r="D3560" s="1" t="s">
        <v>1516</v>
      </c>
      <c r="E3560">
        <v>9</v>
      </c>
    </row>
    <row r="3561" spans="1:5" x14ac:dyDescent="0.2">
      <c r="A3561">
        <v>10020306</v>
      </c>
      <c r="B3561">
        <v>28778757</v>
      </c>
      <c r="C3561">
        <v>11</v>
      </c>
      <c r="D3561" s="1" t="s">
        <v>544</v>
      </c>
      <c r="E3561">
        <v>9</v>
      </c>
    </row>
    <row r="3562" spans="1:5" x14ac:dyDescent="0.2">
      <c r="A3562">
        <v>10020306</v>
      </c>
      <c r="B3562">
        <v>28778757</v>
      </c>
      <c r="C3562">
        <v>1</v>
      </c>
      <c r="D3562" s="1" t="s">
        <v>1517</v>
      </c>
      <c r="E3562">
        <v>9</v>
      </c>
    </row>
    <row r="3563" spans="1:5" x14ac:dyDescent="0.2">
      <c r="A3563">
        <v>10020306</v>
      </c>
      <c r="B3563">
        <v>28778757</v>
      </c>
      <c r="C3563">
        <v>6</v>
      </c>
      <c r="D3563" s="1" t="s">
        <v>711</v>
      </c>
      <c r="E3563">
        <v>9</v>
      </c>
    </row>
    <row r="3564" spans="1:5" x14ac:dyDescent="0.2">
      <c r="A3564">
        <v>10020306</v>
      </c>
      <c r="B3564">
        <v>28778757</v>
      </c>
      <c r="C3564">
        <v>13</v>
      </c>
      <c r="D3564" s="1" t="s">
        <v>1301</v>
      </c>
      <c r="E3564">
        <v>9</v>
      </c>
    </row>
    <row r="3565" spans="1:5" x14ac:dyDescent="0.2">
      <c r="A3565">
        <v>10020306</v>
      </c>
      <c r="B3565">
        <v>28778757</v>
      </c>
      <c r="C3565">
        <v>12</v>
      </c>
      <c r="D3565" s="1" t="s">
        <v>551</v>
      </c>
      <c r="E3565">
        <v>9</v>
      </c>
    </row>
    <row r="3566" spans="1:5" x14ac:dyDescent="0.2">
      <c r="A3566">
        <v>10020306</v>
      </c>
      <c r="B3566">
        <v>28778757</v>
      </c>
      <c r="C3566">
        <v>10</v>
      </c>
      <c r="D3566" s="1" t="s">
        <v>556</v>
      </c>
      <c r="E3566">
        <v>9</v>
      </c>
    </row>
    <row r="3567" spans="1:5" x14ac:dyDescent="0.2">
      <c r="A3567">
        <v>10020306</v>
      </c>
      <c r="B3567">
        <v>28778757</v>
      </c>
      <c r="C3567">
        <v>8</v>
      </c>
      <c r="D3567" s="1" t="s">
        <v>259</v>
      </c>
      <c r="E3567">
        <v>9</v>
      </c>
    </row>
    <row r="3568" spans="1:5" x14ac:dyDescent="0.2">
      <c r="A3568">
        <v>10020306</v>
      </c>
      <c r="B3568">
        <v>28778757</v>
      </c>
      <c r="C3568">
        <v>3</v>
      </c>
      <c r="D3568" s="1" t="s">
        <v>384</v>
      </c>
      <c r="E3568">
        <v>9</v>
      </c>
    </row>
    <row r="3569" spans="1:5" x14ac:dyDescent="0.2">
      <c r="A3569">
        <v>10020306</v>
      </c>
      <c r="B3569">
        <v>28778757</v>
      </c>
      <c r="C3569">
        <v>7</v>
      </c>
      <c r="D3569" s="1" t="s">
        <v>1044</v>
      </c>
      <c r="E3569">
        <v>9</v>
      </c>
    </row>
    <row r="3570" spans="1:5" x14ac:dyDescent="0.2">
      <c r="A3570">
        <v>10020306</v>
      </c>
      <c r="B3570">
        <v>28778757</v>
      </c>
      <c r="C3570">
        <v>4</v>
      </c>
      <c r="D3570" s="1" t="s">
        <v>463</v>
      </c>
      <c r="E3570">
        <v>9</v>
      </c>
    </row>
    <row r="3571" spans="1:5" x14ac:dyDescent="0.2">
      <c r="A3571">
        <v>10020306</v>
      </c>
      <c r="B3571">
        <v>28778757</v>
      </c>
      <c r="C3571">
        <v>9</v>
      </c>
      <c r="D3571" s="1" t="s">
        <v>293</v>
      </c>
      <c r="E3571">
        <v>9</v>
      </c>
    </row>
    <row r="3572" spans="1:5" x14ac:dyDescent="0.2">
      <c r="A3572">
        <v>10020306</v>
      </c>
      <c r="B3572">
        <v>28778757</v>
      </c>
      <c r="C3572">
        <v>2</v>
      </c>
      <c r="D3572" s="1" t="s">
        <v>296</v>
      </c>
      <c r="E3572">
        <v>9</v>
      </c>
    </row>
    <row r="3573" spans="1:5" x14ac:dyDescent="0.2">
      <c r="A3573">
        <v>10020306</v>
      </c>
      <c r="B3573">
        <v>23052851</v>
      </c>
      <c r="C3573">
        <v>3</v>
      </c>
      <c r="D3573" s="1" t="s">
        <v>742</v>
      </c>
      <c r="E3573">
        <v>10</v>
      </c>
    </row>
    <row r="3574" spans="1:5" x14ac:dyDescent="0.2">
      <c r="A3574">
        <v>10020306</v>
      </c>
      <c r="B3574">
        <v>23052851</v>
      </c>
      <c r="C3574">
        <v>19</v>
      </c>
      <c r="D3574" s="1" t="s">
        <v>1518</v>
      </c>
      <c r="E3574">
        <v>10</v>
      </c>
    </row>
    <row r="3575" spans="1:5" x14ac:dyDescent="0.2">
      <c r="A3575">
        <v>10020306</v>
      </c>
      <c r="B3575">
        <v>23052851</v>
      </c>
      <c r="C3575">
        <v>22</v>
      </c>
      <c r="D3575" s="1" t="s">
        <v>1079</v>
      </c>
      <c r="E3575">
        <v>10</v>
      </c>
    </row>
    <row r="3576" spans="1:5" x14ac:dyDescent="0.2">
      <c r="A3576">
        <v>10020306</v>
      </c>
      <c r="B3576">
        <v>23052851</v>
      </c>
      <c r="C3576">
        <v>25</v>
      </c>
      <c r="D3576" s="1" t="s">
        <v>934</v>
      </c>
      <c r="E3576">
        <v>10</v>
      </c>
    </row>
    <row r="3577" spans="1:5" x14ac:dyDescent="0.2">
      <c r="A3577">
        <v>10020306</v>
      </c>
      <c r="B3577">
        <v>23052851</v>
      </c>
      <c r="C3577">
        <v>1</v>
      </c>
      <c r="D3577" s="1" t="s">
        <v>615</v>
      </c>
      <c r="E3577">
        <v>10</v>
      </c>
    </row>
    <row r="3578" spans="1:5" x14ac:dyDescent="0.2">
      <c r="A3578">
        <v>10020306</v>
      </c>
      <c r="B3578">
        <v>23052851</v>
      </c>
      <c r="C3578">
        <v>27</v>
      </c>
      <c r="D3578" s="1" t="s">
        <v>1274</v>
      </c>
      <c r="E3578">
        <v>10</v>
      </c>
    </row>
    <row r="3579" spans="1:5" x14ac:dyDescent="0.2">
      <c r="A3579">
        <v>10020306</v>
      </c>
      <c r="B3579">
        <v>23052851</v>
      </c>
      <c r="C3579">
        <v>11</v>
      </c>
      <c r="D3579" s="1" t="s">
        <v>1175</v>
      </c>
      <c r="E3579">
        <v>10</v>
      </c>
    </row>
    <row r="3580" spans="1:5" x14ac:dyDescent="0.2">
      <c r="A3580">
        <v>10020306</v>
      </c>
      <c r="B3580">
        <v>23052851</v>
      </c>
      <c r="C3580">
        <v>20</v>
      </c>
      <c r="D3580" s="1" t="s">
        <v>335</v>
      </c>
      <c r="E3580">
        <v>10</v>
      </c>
    </row>
    <row r="3581" spans="1:5" x14ac:dyDescent="0.2">
      <c r="A3581">
        <v>10020306</v>
      </c>
      <c r="B3581">
        <v>23052851</v>
      </c>
      <c r="C3581">
        <v>6</v>
      </c>
      <c r="D3581" s="1" t="s">
        <v>1519</v>
      </c>
      <c r="E3581">
        <v>10</v>
      </c>
    </row>
    <row r="3582" spans="1:5" x14ac:dyDescent="0.2">
      <c r="A3582">
        <v>10020306</v>
      </c>
      <c r="B3582">
        <v>23052851</v>
      </c>
      <c r="C3582">
        <v>26</v>
      </c>
      <c r="D3582" s="1" t="s">
        <v>673</v>
      </c>
      <c r="E3582">
        <v>10</v>
      </c>
    </row>
    <row r="3583" spans="1:5" x14ac:dyDescent="0.2">
      <c r="A3583">
        <v>10020306</v>
      </c>
      <c r="B3583">
        <v>23052851</v>
      </c>
      <c r="C3583">
        <v>23</v>
      </c>
      <c r="D3583" s="1" t="s">
        <v>560</v>
      </c>
      <c r="E3583">
        <v>10</v>
      </c>
    </row>
    <row r="3584" spans="1:5" x14ac:dyDescent="0.2">
      <c r="A3584">
        <v>10020306</v>
      </c>
      <c r="B3584">
        <v>23052851</v>
      </c>
      <c r="C3584">
        <v>14</v>
      </c>
      <c r="D3584" s="1" t="s">
        <v>1520</v>
      </c>
      <c r="E3584">
        <v>10</v>
      </c>
    </row>
    <row r="3585" spans="1:5" x14ac:dyDescent="0.2">
      <c r="A3585">
        <v>10020306</v>
      </c>
      <c r="B3585">
        <v>23052851</v>
      </c>
      <c r="C3585">
        <v>2</v>
      </c>
      <c r="D3585" s="1" t="s">
        <v>757</v>
      </c>
      <c r="E3585">
        <v>10</v>
      </c>
    </row>
    <row r="3586" spans="1:5" x14ac:dyDescent="0.2">
      <c r="A3586">
        <v>10020306</v>
      </c>
      <c r="B3586">
        <v>23052851</v>
      </c>
      <c r="C3586">
        <v>28</v>
      </c>
      <c r="D3586" s="1" t="s">
        <v>1034</v>
      </c>
      <c r="E3586">
        <v>10</v>
      </c>
    </row>
    <row r="3587" spans="1:5" x14ac:dyDescent="0.2">
      <c r="A3587">
        <v>10020306</v>
      </c>
      <c r="B3587">
        <v>23052851</v>
      </c>
      <c r="C3587">
        <v>4</v>
      </c>
      <c r="D3587" s="1" t="s">
        <v>1521</v>
      </c>
      <c r="E3587">
        <v>10</v>
      </c>
    </row>
    <row r="3588" spans="1:5" x14ac:dyDescent="0.2">
      <c r="A3588">
        <v>10020306</v>
      </c>
      <c r="B3588">
        <v>23052851</v>
      </c>
      <c r="C3588">
        <v>10</v>
      </c>
      <c r="D3588" s="1" t="s">
        <v>1494</v>
      </c>
      <c r="E3588">
        <v>10</v>
      </c>
    </row>
    <row r="3589" spans="1:5" x14ac:dyDescent="0.2">
      <c r="A3589">
        <v>10020306</v>
      </c>
      <c r="B3589">
        <v>23052851</v>
      </c>
      <c r="C3589">
        <v>15</v>
      </c>
      <c r="D3589" s="1" t="s">
        <v>1522</v>
      </c>
      <c r="E3589">
        <v>10</v>
      </c>
    </row>
    <row r="3590" spans="1:5" x14ac:dyDescent="0.2">
      <c r="A3590">
        <v>10020306</v>
      </c>
      <c r="B3590">
        <v>23052851</v>
      </c>
      <c r="C3590">
        <v>17</v>
      </c>
      <c r="D3590" s="1" t="s">
        <v>1310</v>
      </c>
      <c r="E3590">
        <v>10</v>
      </c>
    </row>
    <row r="3591" spans="1:5" x14ac:dyDescent="0.2">
      <c r="A3591">
        <v>10020306</v>
      </c>
      <c r="B3591">
        <v>23052851</v>
      </c>
      <c r="C3591">
        <v>13</v>
      </c>
      <c r="D3591" s="1" t="s">
        <v>1078</v>
      </c>
      <c r="E3591">
        <v>10</v>
      </c>
    </row>
    <row r="3592" spans="1:5" x14ac:dyDescent="0.2">
      <c r="A3592">
        <v>10020306</v>
      </c>
      <c r="B3592">
        <v>23052851</v>
      </c>
      <c r="C3592">
        <v>18</v>
      </c>
      <c r="D3592" s="1" t="s">
        <v>1123</v>
      </c>
      <c r="E3592">
        <v>10</v>
      </c>
    </row>
    <row r="3593" spans="1:5" x14ac:dyDescent="0.2">
      <c r="A3593">
        <v>10020306</v>
      </c>
      <c r="B3593">
        <v>23052851</v>
      </c>
      <c r="C3593">
        <v>7</v>
      </c>
      <c r="D3593" s="1" t="s">
        <v>1157</v>
      </c>
      <c r="E3593">
        <v>10</v>
      </c>
    </row>
    <row r="3594" spans="1:5" x14ac:dyDescent="0.2">
      <c r="A3594">
        <v>10020306</v>
      </c>
      <c r="B3594">
        <v>23052851</v>
      </c>
      <c r="C3594">
        <v>8</v>
      </c>
      <c r="D3594" s="1" t="s">
        <v>1223</v>
      </c>
      <c r="E3594">
        <v>10</v>
      </c>
    </row>
    <row r="3595" spans="1:5" x14ac:dyDescent="0.2">
      <c r="A3595">
        <v>10020306</v>
      </c>
      <c r="B3595">
        <v>23052851</v>
      </c>
      <c r="C3595">
        <v>12</v>
      </c>
      <c r="D3595" s="1" t="s">
        <v>870</v>
      </c>
      <c r="E3595">
        <v>10</v>
      </c>
    </row>
    <row r="3596" spans="1:5" x14ac:dyDescent="0.2">
      <c r="A3596">
        <v>10020306</v>
      </c>
      <c r="B3596">
        <v>23052851</v>
      </c>
      <c r="C3596">
        <v>16</v>
      </c>
      <c r="D3596" s="1" t="s">
        <v>1425</v>
      </c>
      <c r="E3596">
        <v>10</v>
      </c>
    </row>
    <row r="3597" spans="1:5" x14ac:dyDescent="0.2">
      <c r="A3597">
        <v>10020306</v>
      </c>
      <c r="B3597">
        <v>23052851</v>
      </c>
      <c r="C3597">
        <v>5</v>
      </c>
      <c r="D3597" s="1" t="s">
        <v>1523</v>
      </c>
      <c r="E3597">
        <v>10</v>
      </c>
    </row>
    <row r="3598" spans="1:5" x14ac:dyDescent="0.2">
      <c r="A3598">
        <v>10020306</v>
      </c>
      <c r="B3598">
        <v>23052851</v>
      </c>
      <c r="C3598">
        <v>9</v>
      </c>
      <c r="D3598" s="1" t="s">
        <v>1524</v>
      </c>
      <c r="E3598">
        <v>10</v>
      </c>
    </row>
    <row r="3599" spans="1:5" x14ac:dyDescent="0.2">
      <c r="A3599">
        <v>10020306</v>
      </c>
      <c r="B3599">
        <v>23052851</v>
      </c>
      <c r="C3599">
        <v>21</v>
      </c>
      <c r="D3599" s="1" t="s">
        <v>312</v>
      </c>
      <c r="E3599">
        <v>10</v>
      </c>
    </row>
    <row r="3600" spans="1:5" x14ac:dyDescent="0.2">
      <c r="A3600">
        <v>10020306</v>
      </c>
      <c r="B3600">
        <v>23052851</v>
      </c>
      <c r="C3600">
        <v>24</v>
      </c>
      <c r="D3600" s="1" t="s">
        <v>438</v>
      </c>
      <c r="E3600">
        <v>10</v>
      </c>
    </row>
    <row r="3601" spans="1:5" x14ac:dyDescent="0.2">
      <c r="A3601">
        <v>10020306</v>
      </c>
      <c r="B3601">
        <v>26332470</v>
      </c>
      <c r="C3601">
        <v>2</v>
      </c>
      <c r="D3601" s="1" t="s">
        <v>756</v>
      </c>
      <c r="E3601">
        <v>10</v>
      </c>
    </row>
    <row r="3602" spans="1:5" x14ac:dyDescent="0.2">
      <c r="A3602">
        <v>10020306</v>
      </c>
      <c r="B3602">
        <v>26332470</v>
      </c>
      <c r="C3602">
        <v>4</v>
      </c>
      <c r="D3602" s="1" t="s">
        <v>335</v>
      </c>
      <c r="E3602">
        <v>10</v>
      </c>
    </row>
    <row r="3603" spans="1:5" x14ac:dyDescent="0.2">
      <c r="A3603">
        <v>10020306</v>
      </c>
      <c r="B3603">
        <v>26332470</v>
      </c>
      <c r="C3603">
        <v>3</v>
      </c>
      <c r="D3603" s="1" t="s">
        <v>787</v>
      </c>
      <c r="E3603">
        <v>10</v>
      </c>
    </row>
    <row r="3604" spans="1:5" x14ac:dyDescent="0.2">
      <c r="A3604">
        <v>10020306</v>
      </c>
      <c r="B3604">
        <v>26332470</v>
      </c>
      <c r="C3604">
        <v>1</v>
      </c>
      <c r="D3604" s="1" t="s">
        <v>929</v>
      </c>
      <c r="E3604">
        <v>10</v>
      </c>
    </row>
    <row r="3605" spans="1:5" x14ac:dyDescent="0.2">
      <c r="A3605">
        <v>10020306</v>
      </c>
      <c r="B3605">
        <v>26332470</v>
      </c>
      <c r="C3605">
        <v>7</v>
      </c>
      <c r="D3605" s="1" t="s">
        <v>620</v>
      </c>
      <c r="E3605">
        <v>10</v>
      </c>
    </row>
    <row r="3606" spans="1:5" x14ac:dyDescent="0.2">
      <c r="A3606">
        <v>10020306</v>
      </c>
      <c r="B3606">
        <v>26332470</v>
      </c>
      <c r="C3606">
        <v>6</v>
      </c>
      <c r="D3606" s="1" t="s">
        <v>328</v>
      </c>
      <c r="E3606">
        <v>10</v>
      </c>
    </row>
    <row r="3607" spans="1:5" x14ac:dyDescent="0.2">
      <c r="A3607">
        <v>10020306</v>
      </c>
      <c r="B3607">
        <v>26332470</v>
      </c>
      <c r="C3607">
        <v>5</v>
      </c>
      <c r="D3607" s="1" t="s">
        <v>1078</v>
      </c>
      <c r="E3607">
        <v>10</v>
      </c>
    </row>
    <row r="3608" spans="1:5" x14ac:dyDescent="0.2">
      <c r="A3608">
        <v>10017492</v>
      </c>
      <c r="B3608">
        <v>27672872</v>
      </c>
      <c r="C3608">
        <v>7</v>
      </c>
      <c r="D3608" s="1" t="s">
        <v>1525</v>
      </c>
      <c r="E3608">
        <v>9</v>
      </c>
    </row>
    <row r="3609" spans="1:5" x14ac:dyDescent="0.2">
      <c r="A3609">
        <v>10017492</v>
      </c>
      <c r="B3609">
        <v>27672872</v>
      </c>
      <c r="C3609">
        <v>2</v>
      </c>
      <c r="D3609" s="1" t="s">
        <v>409</v>
      </c>
      <c r="E3609">
        <v>9</v>
      </c>
    </row>
    <row r="3610" spans="1:5" x14ac:dyDescent="0.2">
      <c r="A3610">
        <v>10017492</v>
      </c>
      <c r="B3610">
        <v>27672872</v>
      </c>
      <c r="C3610">
        <v>8</v>
      </c>
      <c r="D3610" s="1" t="s">
        <v>1526</v>
      </c>
      <c r="E3610">
        <v>9</v>
      </c>
    </row>
    <row r="3611" spans="1:5" x14ac:dyDescent="0.2">
      <c r="A3611">
        <v>10017492</v>
      </c>
      <c r="B3611">
        <v>27672872</v>
      </c>
      <c r="C3611">
        <v>3</v>
      </c>
      <c r="D3611" s="1" t="s">
        <v>350</v>
      </c>
      <c r="E3611">
        <v>9</v>
      </c>
    </row>
    <row r="3612" spans="1:5" x14ac:dyDescent="0.2">
      <c r="A3612">
        <v>10017492</v>
      </c>
      <c r="B3612">
        <v>27672872</v>
      </c>
      <c r="C3612">
        <v>4</v>
      </c>
      <c r="D3612" s="1" t="s">
        <v>272</v>
      </c>
      <c r="E3612">
        <v>9</v>
      </c>
    </row>
    <row r="3613" spans="1:5" x14ac:dyDescent="0.2">
      <c r="A3613">
        <v>10017492</v>
      </c>
      <c r="B3613">
        <v>27672872</v>
      </c>
      <c r="C3613">
        <v>1</v>
      </c>
      <c r="D3613" s="1" t="s">
        <v>1527</v>
      </c>
      <c r="E3613">
        <v>9</v>
      </c>
    </row>
    <row r="3614" spans="1:5" x14ac:dyDescent="0.2">
      <c r="A3614">
        <v>10017492</v>
      </c>
      <c r="B3614">
        <v>27672872</v>
      </c>
      <c r="C3614">
        <v>9</v>
      </c>
      <c r="D3614" s="1" t="s">
        <v>1232</v>
      </c>
      <c r="E3614">
        <v>9</v>
      </c>
    </row>
    <row r="3615" spans="1:5" x14ac:dyDescent="0.2">
      <c r="A3615">
        <v>10017492</v>
      </c>
      <c r="B3615">
        <v>27672872</v>
      </c>
      <c r="C3615">
        <v>5</v>
      </c>
      <c r="D3615" s="1" t="s">
        <v>296</v>
      </c>
      <c r="E3615">
        <v>9</v>
      </c>
    </row>
    <row r="3616" spans="1:5" x14ac:dyDescent="0.2">
      <c r="A3616">
        <v>10017492</v>
      </c>
      <c r="B3616">
        <v>27672872</v>
      </c>
      <c r="C3616">
        <v>6</v>
      </c>
      <c r="D3616" s="1" t="s">
        <v>349</v>
      </c>
      <c r="E3616">
        <v>9</v>
      </c>
    </row>
    <row r="3617" spans="1:5" x14ac:dyDescent="0.2">
      <c r="A3617">
        <v>10017492</v>
      </c>
      <c r="B3617">
        <v>27417763</v>
      </c>
      <c r="C3617">
        <v>2</v>
      </c>
      <c r="D3617" s="1" t="s">
        <v>273</v>
      </c>
      <c r="E3617">
        <v>9</v>
      </c>
    </row>
    <row r="3618" spans="1:5" x14ac:dyDescent="0.2">
      <c r="A3618">
        <v>10017492</v>
      </c>
      <c r="B3618">
        <v>27417763</v>
      </c>
      <c r="C3618">
        <v>6</v>
      </c>
      <c r="D3618" s="1" t="s">
        <v>409</v>
      </c>
      <c r="E3618">
        <v>9</v>
      </c>
    </row>
    <row r="3619" spans="1:5" x14ac:dyDescent="0.2">
      <c r="A3619">
        <v>10017492</v>
      </c>
      <c r="B3619">
        <v>27417763</v>
      </c>
      <c r="C3619">
        <v>13</v>
      </c>
      <c r="D3619" s="1" t="s">
        <v>296</v>
      </c>
      <c r="E3619">
        <v>9</v>
      </c>
    </row>
    <row r="3620" spans="1:5" x14ac:dyDescent="0.2">
      <c r="A3620">
        <v>10017492</v>
      </c>
      <c r="B3620">
        <v>27417763</v>
      </c>
      <c r="C3620">
        <v>20</v>
      </c>
      <c r="D3620" s="1" t="s">
        <v>400</v>
      </c>
      <c r="E3620">
        <v>9</v>
      </c>
    </row>
    <row r="3621" spans="1:5" x14ac:dyDescent="0.2">
      <c r="A3621">
        <v>10017492</v>
      </c>
      <c r="B3621">
        <v>27417763</v>
      </c>
      <c r="C3621">
        <v>10</v>
      </c>
      <c r="D3621" s="1" t="s">
        <v>350</v>
      </c>
      <c r="E3621">
        <v>9</v>
      </c>
    </row>
    <row r="3622" spans="1:5" x14ac:dyDescent="0.2">
      <c r="A3622">
        <v>10017492</v>
      </c>
      <c r="B3622">
        <v>27417763</v>
      </c>
      <c r="C3622">
        <v>5</v>
      </c>
      <c r="D3622" s="1" t="s">
        <v>403</v>
      </c>
      <c r="E3622">
        <v>9</v>
      </c>
    </row>
    <row r="3623" spans="1:5" x14ac:dyDescent="0.2">
      <c r="A3623">
        <v>10017492</v>
      </c>
      <c r="B3623">
        <v>27417763</v>
      </c>
      <c r="C3623">
        <v>3</v>
      </c>
      <c r="D3623" s="1" t="s">
        <v>535</v>
      </c>
      <c r="E3623">
        <v>9</v>
      </c>
    </row>
    <row r="3624" spans="1:5" x14ac:dyDescent="0.2">
      <c r="A3624">
        <v>10017492</v>
      </c>
      <c r="B3624">
        <v>27417763</v>
      </c>
      <c r="C3624">
        <v>17</v>
      </c>
      <c r="D3624" s="1" t="s">
        <v>853</v>
      </c>
      <c r="E3624">
        <v>9</v>
      </c>
    </row>
    <row r="3625" spans="1:5" x14ac:dyDescent="0.2">
      <c r="A3625">
        <v>10017492</v>
      </c>
      <c r="B3625">
        <v>27417763</v>
      </c>
      <c r="C3625">
        <v>1</v>
      </c>
      <c r="D3625" s="1" t="s">
        <v>1528</v>
      </c>
      <c r="E3625">
        <v>9</v>
      </c>
    </row>
    <row r="3626" spans="1:5" x14ac:dyDescent="0.2">
      <c r="A3626">
        <v>10017492</v>
      </c>
      <c r="B3626">
        <v>27417763</v>
      </c>
      <c r="C3626">
        <v>14</v>
      </c>
      <c r="D3626" s="1" t="s">
        <v>259</v>
      </c>
      <c r="E3626">
        <v>9</v>
      </c>
    </row>
    <row r="3627" spans="1:5" x14ac:dyDescent="0.2">
      <c r="A3627">
        <v>10017492</v>
      </c>
      <c r="B3627">
        <v>27417763</v>
      </c>
      <c r="C3627">
        <v>8</v>
      </c>
      <c r="D3627" s="1" t="s">
        <v>1529</v>
      </c>
      <c r="E3627">
        <v>9</v>
      </c>
    </row>
    <row r="3628" spans="1:5" x14ac:dyDescent="0.2">
      <c r="A3628">
        <v>10017492</v>
      </c>
      <c r="B3628">
        <v>27417763</v>
      </c>
      <c r="C3628">
        <v>12</v>
      </c>
      <c r="D3628" s="1" t="s">
        <v>340</v>
      </c>
      <c r="E3628">
        <v>9</v>
      </c>
    </row>
    <row r="3629" spans="1:5" x14ac:dyDescent="0.2">
      <c r="A3629">
        <v>10017492</v>
      </c>
      <c r="B3629">
        <v>27417763</v>
      </c>
      <c r="C3629">
        <v>11</v>
      </c>
      <c r="D3629" s="1" t="s">
        <v>695</v>
      </c>
      <c r="E3629">
        <v>9</v>
      </c>
    </row>
    <row r="3630" spans="1:5" x14ac:dyDescent="0.2">
      <c r="A3630">
        <v>10017492</v>
      </c>
      <c r="B3630">
        <v>27417763</v>
      </c>
      <c r="C3630">
        <v>18</v>
      </c>
      <c r="D3630" s="1" t="s">
        <v>274</v>
      </c>
      <c r="E3630">
        <v>9</v>
      </c>
    </row>
    <row r="3631" spans="1:5" x14ac:dyDescent="0.2">
      <c r="A3631">
        <v>10017492</v>
      </c>
      <c r="B3631">
        <v>27417763</v>
      </c>
      <c r="C3631">
        <v>9</v>
      </c>
      <c r="D3631" s="1" t="s">
        <v>1412</v>
      </c>
      <c r="E3631">
        <v>9</v>
      </c>
    </row>
    <row r="3632" spans="1:5" x14ac:dyDescent="0.2">
      <c r="A3632">
        <v>10017492</v>
      </c>
      <c r="B3632">
        <v>27417763</v>
      </c>
      <c r="C3632">
        <v>15</v>
      </c>
      <c r="D3632" s="1" t="s">
        <v>838</v>
      </c>
      <c r="E3632">
        <v>9</v>
      </c>
    </row>
    <row r="3633" spans="1:5" x14ac:dyDescent="0.2">
      <c r="A3633">
        <v>10017492</v>
      </c>
      <c r="B3633">
        <v>27417763</v>
      </c>
      <c r="C3633">
        <v>21</v>
      </c>
      <c r="D3633" s="1" t="s">
        <v>1000</v>
      </c>
      <c r="E3633">
        <v>9</v>
      </c>
    </row>
    <row r="3634" spans="1:5" x14ac:dyDescent="0.2">
      <c r="A3634">
        <v>10017492</v>
      </c>
      <c r="B3634">
        <v>27417763</v>
      </c>
      <c r="C3634">
        <v>16</v>
      </c>
      <c r="D3634" s="1" t="s">
        <v>538</v>
      </c>
      <c r="E3634">
        <v>9</v>
      </c>
    </row>
    <row r="3635" spans="1:5" x14ac:dyDescent="0.2">
      <c r="A3635">
        <v>10017492</v>
      </c>
      <c r="B3635">
        <v>27417763</v>
      </c>
      <c r="C3635">
        <v>19</v>
      </c>
      <c r="D3635" s="1" t="s">
        <v>491</v>
      </c>
      <c r="E3635">
        <v>9</v>
      </c>
    </row>
    <row r="3636" spans="1:5" x14ac:dyDescent="0.2">
      <c r="A3636">
        <v>10017492</v>
      </c>
      <c r="B3636">
        <v>27417763</v>
      </c>
      <c r="C3636">
        <v>4</v>
      </c>
      <c r="D3636" s="1" t="s">
        <v>389</v>
      </c>
      <c r="E3636">
        <v>9</v>
      </c>
    </row>
    <row r="3637" spans="1:5" x14ac:dyDescent="0.2">
      <c r="A3637">
        <v>10017492</v>
      </c>
      <c r="B3637">
        <v>27417763</v>
      </c>
      <c r="C3637">
        <v>7</v>
      </c>
      <c r="D3637" s="1" t="s">
        <v>402</v>
      </c>
      <c r="E3637">
        <v>9</v>
      </c>
    </row>
    <row r="3638" spans="1:5" x14ac:dyDescent="0.2">
      <c r="A3638">
        <v>10037975</v>
      </c>
      <c r="B3638">
        <v>27617929</v>
      </c>
      <c r="C3638">
        <v>17</v>
      </c>
      <c r="D3638" s="1" t="s">
        <v>782</v>
      </c>
      <c r="E3638">
        <v>9</v>
      </c>
    </row>
    <row r="3639" spans="1:5" x14ac:dyDescent="0.2">
      <c r="A3639">
        <v>10037975</v>
      </c>
      <c r="B3639">
        <v>27617929</v>
      </c>
      <c r="C3639">
        <v>21</v>
      </c>
      <c r="D3639" s="1" t="s">
        <v>1530</v>
      </c>
      <c r="E3639">
        <v>9</v>
      </c>
    </row>
    <row r="3640" spans="1:5" x14ac:dyDescent="0.2">
      <c r="A3640">
        <v>10037975</v>
      </c>
      <c r="B3640">
        <v>27617929</v>
      </c>
      <c r="C3640">
        <v>13</v>
      </c>
      <c r="D3640" s="1" t="s">
        <v>413</v>
      </c>
      <c r="E3640">
        <v>9</v>
      </c>
    </row>
    <row r="3641" spans="1:5" x14ac:dyDescent="0.2">
      <c r="A3641">
        <v>10037975</v>
      </c>
      <c r="B3641">
        <v>27617929</v>
      </c>
      <c r="C3641">
        <v>20</v>
      </c>
      <c r="D3641" s="1" t="s">
        <v>414</v>
      </c>
      <c r="E3641">
        <v>9</v>
      </c>
    </row>
    <row r="3642" spans="1:5" x14ac:dyDescent="0.2">
      <c r="A3642">
        <v>10037975</v>
      </c>
      <c r="B3642">
        <v>27617929</v>
      </c>
      <c r="C3642">
        <v>19</v>
      </c>
      <c r="D3642" s="1" t="s">
        <v>1511</v>
      </c>
      <c r="E3642">
        <v>9</v>
      </c>
    </row>
    <row r="3643" spans="1:5" x14ac:dyDescent="0.2">
      <c r="A3643">
        <v>10037975</v>
      </c>
      <c r="B3643">
        <v>27617929</v>
      </c>
      <c r="C3643">
        <v>4</v>
      </c>
      <c r="D3643" s="1" t="s">
        <v>708</v>
      </c>
      <c r="E3643">
        <v>9</v>
      </c>
    </row>
    <row r="3644" spans="1:5" x14ac:dyDescent="0.2">
      <c r="A3644">
        <v>10037975</v>
      </c>
      <c r="B3644">
        <v>27617929</v>
      </c>
      <c r="C3644">
        <v>15</v>
      </c>
      <c r="D3644" s="1" t="s">
        <v>308</v>
      </c>
      <c r="E3644">
        <v>9</v>
      </c>
    </row>
    <row r="3645" spans="1:5" x14ac:dyDescent="0.2">
      <c r="A3645">
        <v>10037975</v>
      </c>
      <c r="B3645">
        <v>27617929</v>
      </c>
      <c r="C3645">
        <v>18</v>
      </c>
      <c r="D3645" s="1" t="s">
        <v>538</v>
      </c>
      <c r="E3645">
        <v>9</v>
      </c>
    </row>
    <row r="3646" spans="1:5" x14ac:dyDescent="0.2">
      <c r="A3646">
        <v>10037975</v>
      </c>
      <c r="B3646">
        <v>27617929</v>
      </c>
      <c r="C3646">
        <v>7</v>
      </c>
      <c r="D3646" s="1" t="s">
        <v>403</v>
      </c>
      <c r="E3646">
        <v>9</v>
      </c>
    </row>
    <row r="3647" spans="1:5" x14ac:dyDescent="0.2">
      <c r="A3647">
        <v>10037975</v>
      </c>
      <c r="B3647">
        <v>27617929</v>
      </c>
      <c r="C3647">
        <v>11</v>
      </c>
      <c r="D3647" s="1" t="s">
        <v>660</v>
      </c>
      <c r="E3647">
        <v>9</v>
      </c>
    </row>
    <row r="3648" spans="1:5" x14ac:dyDescent="0.2">
      <c r="A3648">
        <v>10037975</v>
      </c>
      <c r="B3648">
        <v>27617929</v>
      </c>
      <c r="C3648">
        <v>6</v>
      </c>
      <c r="D3648" s="1" t="s">
        <v>646</v>
      </c>
      <c r="E3648">
        <v>9</v>
      </c>
    </row>
    <row r="3649" spans="1:5" x14ac:dyDescent="0.2">
      <c r="A3649">
        <v>10037975</v>
      </c>
      <c r="B3649">
        <v>27617929</v>
      </c>
      <c r="C3649">
        <v>14</v>
      </c>
      <c r="D3649" s="1" t="s">
        <v>320</v>
      </c>
      <c r="E3649">
        <v>9</v>
      </c>
    </row>
    <row r="3650" spans="1:5" x14ac:dyDescent="0.2">
      <c r="A3650">
        <v>10037975</v>
      </c>
      <c r="B3650">
        <v>27617929</v>
      </c>
      <c r="C3650">
        <v>22</v>
      </c>
      <c r="D3650" s="1" t="s">
        <v>272</v>
      </c>
      <c r="E3650">
        <v>9</v>
      </c>
    </row>
    <row r="3651" spans="1:5" x14ac:dyDescent="0.2">
      <c r="A3651">
        <v>10037975</v>
      </c>
      <c r="B3651">
        <v>27617929</v>
      </c>
      <c r="C3651">
        <v>10</v>
      </c>
      <c r="D3651" s="1" t="s">
        <v>263</v>
      </c>
      <c r="E3651">
        <v>9</v>
      </c>
    </row>
    <row r="3652" spans="1:5" x14ac:dyDescent="0.2">
      <c r="A3652">
        <v>10037975</v>
      </c>
      <c r="B3652">
        <v>27617929</v>
      </c>
      <c r="C3652">
        <v>12</v>
      </c>
      <c r="D3652" s="1" t="s">
        <v>253</v>
      </c>
      <c r="E3652">
        <v>9</v>
      </c>
    </row>
    <row r="3653" spans="1:5" x14ac:dyDescent="0.2">
      <c r="A3653">
        <v>10037975</v>
      </c>
      <c r="B3653">
        <v>27617929</v>
      </c>
      <c r="C3653">
        <v>8</v>
      </c>
      <c r="D3653" s="1" t="s">
        <v>410</v>
      </c>
      <c r="E3653">
        <v>9</v>
      </c>
    </row>
    <row r="3654" spans="1:5" x14ac:dyDescent="0.2">
      <c r="A3654">
        <v>10037975</v>
      </c>
      <c r="B3654">
        <v>27617929</v>
      </c>
      <c r="C3654">
        <v>9</v>
      </c>
      <c r="D3654" s="1" t="s">
        <v>1531</v>
      </c>
      <c r="E3654">
        <v>9</v>
      </c>
    </row>
    <row r="3655" spans="1:5" x14ac:dyDescent="0.2">
      <c r="A3655">
        <v>10037975</v>
      </c>
      <c r="B3655">
        <v>27617929</v>
      </c>
      <c r="C3655">
        <v>16</v>
      </c>
      <c r="D3655" s="1" t="s">
        <v>544</v>
      </c>
      <c r="E3655">
        <v>9</v>
      </c>
    </row>
    <row r="3656" spans="1:5" x14ac:dyDescent="0.2">
      <c r="A3656">
        <v>10037975</v>
      </c>
      <c r="B3656">
        <v>27617929</v>
      </c>
      <c r="C3656">
        <v>1</v>
      </c>
      <c r="D3656" s="1" t="s">
        <v>798</v>
      </c>
      <c r="E3656">
        <v>9</v>
      </c>
    </row>
    <row r="3657" spans="1:5" x14ac:dyDescent="0.2">
      <c r="A3657">
        <v>10037975</v>
      </c>
      <c r="B3657">
        <v>27617929</v>
      </c>
      <c r="C3657">
        <v>2</v>
      </c>
      <c r="D3657" s="1" t="s">
        <v>516</v>
      </c>
      <c r="E3657">
        <v>9</v>
      </c>
    </row>
    <row r="3658" spans="1:5" x14ac:dyDescent="0.2">
      <c r="A3658">
        <v>10037975</v>
      </c>
      <c r="B3658">
        <v>27617929</v>
      </c>
      <c r="C3658">
        <v>5</v>
      </c>
      <c r="D3658" s="1" t="s">
        <v>808</v>
      </c>
      <c r="E3658">
        <v>9</v>
      </c>
    </row>
    <row r="3659" spans="1:5" x14ac:dyDescent="0.2">
      <c r="A3659">
        <v>10037975</v>
      </c>
      <c r="B3659">
        <v>27617929</v>
      </c>
      <c r="C3659">
        <v>3</v>
      </c>
      <c r="D3659" s="1" t="s">
        <v>454</v>
      </c>
      <c r="E3659">
        <v>9</v>
      </c>
    </row>
    <row r="3660" spans="1:5" x14ac:dyDescent="0.2">
      <c r="A3660">
        <v>10038999</v>
      </c>
      <c r="B3660">
        <v>29026789</v>
      </c>
      <c r="C3660">
        <v>2</v>
      </c>
      <c r="D3660" s="1" t="s">
        <v>1116</v>
      </c>
      <c r="E3660">
        <v>10</v>
      </c>
    </row>
    <row r="3661" spans="1:5" x14ac:dyDescent="0.2">
      <c r="A3661">
        <v>10038999</v>
      </c>
      <c r="B3661">
        <v>29026789</v>
      </c>
      <c r="C3661">
        <v>6</v>
      </c>
      <c r="D3661" s="1" t="s">
        <v>1532</v>
      </c>
      <c r="E3661">
        <v>10</v>
      </c>
    </row>
    <row r="3662" spans="1:5" x14ac:dyDescent="0.2">
      <c r="A3662">
        <v>10038999</v>
      </c>
      <c r="B3662">
        <v>29026789</v>
      </c>
      <c r="C3662">
        <v>1</v>
      </c>
      <c r="D3662" s="1" t="s">
        <v>1533</v>
      </c>
      <c r="E3662">
        <v>10</v>
      </c>
    </row>
    <row r="3663" spans="1:5" x14ac:dyDescent="0.2">
      <c r="A3663">
        <v>10038999</v>
      </c>
      <c r="B3663">
        <v>29026789</v>
      </c>
      <c r="C3663">
        <v>5</v>
      </c>
      <c r="D3663" s="1" t="s">
        <v>680</v>
      </c>
      <c r="E3663">
        <v>10</v>
      </c>
    </row>
    <row r="3664" spans="1:5" x14ac:dyDescent="0.2">
      <c r="A3664">
        <v>10038999</v>
      </c>
      <c r="B3664">
        <v>29026789</v>
      </c>
      <c r="C3664">
        <v>3</v>
      </c>
      <c r="D3664" s="1" t="s">
        <v>361</v>
      </c>
      <c r="E3664">
        <v>10</v>
      </c>
    </row>
    <row r="3665" spans="1:5" x14ac:dyDescent="0.2">
      <c r="A3665">
        <v>10038999</v>
      </c>
      <c r="B3665">
        <v>29026789</v>
      </c>
      <c r="C3665">
        <v>4</v>
      </c>
      <c r="D3665" s="1" t="s">
        <v>1534</v>
      </c>
      <c r="E3665">
        <v>10</v>
      </c>
    </row>
    <row r="3666" spans="1:5" x14ac:dyDescent="0.2">
      <c r="A3666">
        <v>10038999</v>
      </c>
      <c r="B3666">
        <v>27189241</v>
      </c>
      <c r="C3666">
        <v>1</v>
      </c>
      <c r="D3666" s="1" t="s">
        <v>561</v>
      </c>
      <c r="E3666">
        <v>10</v>
      </c>
    </row>
    <row r="3667" spans="1:5" x14ac:dyDescent="0.2">
      <c r="A3667">
        <v>10038999</v>
      </c>
      <c r="B3667">
        <v>27189241</v>
      </c>
      <c r="C3667">
        <v>9</v>
      </c>
      <c r="D3667" s="1" t="s">
        <v>422</v>
      </c>
      <c r="E3667">
        <v>10</v>
      </c>
    </row>
    <row r="3668" spans="1:5" x14ac:dyDescent="0.2">
      <c r="A3668">
        <v>10038999</v>
      </c>
      <c r="B3668">
        <v>27189241</v>
      </c>
      <c r="C3668">
        <v>6</v>
      </c>
      <c r="D3668" s="1" t="s">
        <v>1171</v>
      </c>
      <c r="E3668">
        <v>10</v>
      </c>
    </row>
    <row r="3669" spans="1:5" x14ac:dyDescent="0.2">
      <c r="A3669">
        <v>10038999</v>
      </c>
      <c r="B3669">
        <v>27189241</v>
      </c>
      <c r="C3669">
        <v>13</v>
      </c>
      <c r="D3669" s="1" t="s">
        <v>1535</v>
      </c>
      <c r="E3669">
        <v>10</v>
      </c>
    </row>
    <row r="3670" spans="1:5" x14ac:dyDescent="0.2">
      <c r="A3670">
        <v>10038999</v>
      </c>
      <c r="B3670">
        <v>27189241</v>
      </c>
      <c r="C3670">
        <v>2</v>
      </c>
      <c r="D3670" s="1" t="s">
        <v>757</v>
      </c>
      <c r="E3670">
        <v>10</v>
      </c>
    </row>
    <row r="3671" spans="1:5" x14ac:dyDescent="0.2">
      <c r="A3671">
        <v>10038999</v>
      </c>
      <c r="B3671">
        <v>27189241</v>
      </c>
      <c r="C3671">
        <v>15</v>
      </c>
      <c r="D3671" s="1" t="s">
        <v>312</v>
      </c>
      <c r="E3671">
        <v>10</v>
      </c>
    </row>
    <row r="3672" spans="1:5" x14ac:dyDescent="0.2">
      <c r="A3672">
        <v>10038999</v>
      </c>
      <c r="B3672">
        <v>27189241</v>
      </c>
      <c r="C3672">
        <v>10</v>
      </c>
      <c r="D3672" s="1" t="s">
        <v>1082</v>
      </c>
      <c r="E3672">
        <v>10</v>
      </c>
    </row>
    <row r="3673" spans="1:5" x14ac:dyDescent="0.2">
      <c r="A3673">
        <v>10038999</v>
      </c>
      <c r="B3673">
        <v>27189241</v>
      </c>
      <c r="C3673">
        <v>3</v>
      </c>
      <c r="D3673" s="1" t="s">
        <v>1166</v>
      </c>
      <c r="E3673">
        <v>10</v>
      </c>
    </row>
    <row r="3674" spans="1:5" x14ac:dyDescent="0.2">
      <c r="A3674">
        <v>10038999</v>
      </c>
      <c r="B3674">
        <v>27189241</v>
      </c>
      <c r="C3674">
        <v>4</v>
      </c>
      <c r="D3674" s="1" t="s">
        <v>1536</v>
      </c>
      <c r="E3674">
        <v>10</v>
      </c>
    </row>
    <row r="3675" spans="1:5" x14ac:dyDescent="0.2">
      <c r="A3675">
        <v>10038999</v>
      </c>
      <c r="B3675">
        <v>27189241</v>
      </c>
      <c r="C3675">
        <v>5</v>
      </c>
      <c r="D3675" s="1" t="s">
        <v>923</v>
      </c>
      <c r="E3675">
        <v>10</v>
      </c>
    </row>
    <row r="3676" spans="1:5" x14ac:dyDescent="0.2">
      <c r="A3676">
        <v>10038999</v>
      </c>
      <c r="B3676">
        <v>27189241</v>
      </c>
      <c r="C3676">
        <v>8</v>
      </c>
      <c r="D3676" s="1" t="s">
        <v>1167</v>
      </c>
      <c r="E3676">
        <v>10</v>
      </c>
    </row>
    <row r="3677" spans="1:5" x14ac:dyDescent="0.2">
      <c r="A3677">
        <v>10038999</v>
      </c>
      <c r="B3677">
        <v>27189241</v>
      </c>
      <c r="C3677">
        <v>14</v>
      </c>
      <c r="D3677" s="1" t="s">
        <v>756</v>
      </c>
      <c r="E3677">
        <v>10</v>
      </c>
    </row>
    <row r="3678" spans="1:5" x14ac:dyDescent="0.2">
      <c r="A3678">
        <v>10038999</v>
      </c>
      <c r="B3678">
        <v>27189241</v>
      </c>
      <c r="C3678">
        <v>12</v>
      </c>
      <c r="D3678" s="1" t="s">
        <v>1537</v>
      </c>
      <c r="E3678">
        <v>10</v>
      </c>
    </row>
    <row r="3679" spans="1:5" x14ac:dyDescent="0.2">
      <c r="A3679">
        <v>10038999</v>
      </c>
      <c r="B3679">
        <v>27189241</v>
      </c>
      <c r="C3679">
        <v>11</v>
      </c>
      <c r="D3679" s="1" t="s">
        <v>361</v>
      </c>
      <c r="E3679">
        <v>10</v>
      </c>
    </row>
    <row r="3680" spans="1:5" x14ac:dyDescent="0.2">
      <c r="A3680">
        <v>10038999</v>
      </c>
      <c r="B3680">
        <v>27189241</v>
      </c>
      <c r="C3680">
        <v>16</v>
      </c>
      <c r="D3680" s="1" t="s">
        <v>1024</v>
      </c>
      <c r="E3680">
        <v>10</v>
      </c>
    </row>
    <row r="3681" spans="1:5" x14ac:dyDescent="0.2">
      <c r="A3681">
        <v>10038999</v>
      </c>
      <c r="B3681">
        <v>27189241</v>
      </c>
      <c r="C3681">
        <v>17</v>
      </c>
      <c r="D3681" s="1" t="s">
        <v>1097</v>
      </c>
      <c r="E3681">
        <v>10</v>
      </c>
    </row>
    <row r="3682" spans="1:5" x14ac:dyDescent="0.2">
      <c r="A3682">
        <v>10038999</v>
      </c>
      <c r="B3682">
        <v>27189241</v>
      </c>
      <c r="C3682">
        <v>7</v>
      </c>
      <c r="D3682" s="1" t="s">
        <v>1187</v>
      </c>
      <c r="E3682">
        <v>10</v>
      </c>
    </row>
    <row r="3683" spans="1:5" x14ac:dyDescent="0.2">
      <c r="A3683">
        <v>10040025</v>
      </c>
      <c r="B3683">
        <v>27125816</v>
      </c>
      <c r="C3683">
        <v>9</v>
      </c>
      <c r="D3683" s="1" t="s">
        <v>413</v>
      </c>
      <c r="E3683">
        <v>9</v>
      </c>
    </row>
    <row r="3684" spans="1:5" x14ac:dyDescent="0.2">
      <c r="A3684">
        <v>10040025</v>
      </c>
      <c r="B3684">
        <v>27125816</v>
      </c>
      <c r="C3684">
        <v>2</v>
      </c>
      <c r="D3684" s="1" t="s">
        <v>1538</v>
      </c>
      <c r="E3684">
        <v>9</v>
      </c>
    </row>
    <row r="3685" spans="1:5" x14ac:dyDescent="0.2">
      <c r="A3685">
        <v>10040025</v>
      </c>
      <c r="B3685">
        <v>27125816</v>
      </c>
      <c r="C3685">
        <v>6</v>
      </c>
      <c r="D3685" s="1" t="s">
        <v>388</v>
      </c>
      <c r="E3685">
        <v>9</v>
      </c>
    </row>
    <row r="3686" spans="1:5" x14ac:dyDescent="0.2">
      <c r="A3686">
        <v>10040025</v>
      </c>
      <c r="B3686">
        <v>27125816</v>
      </c>
      <c r="C3686">
        <v>1</v>
      </c>
      <c r="D3686" s="1" t="s">
        <v>416</v>
      </c>
      <c r="E3686">
        <v>9</v>
      </c>
    </row>
    <row r="3687" spans="1:5" x14ac:dyDescent="0.2">
      <c r="A3687">
        <v>10040025</v>
      </c>
      <c r="B3687">
        <v>27125816</v>
      </c>
      <c r="C3687">
        <v>7</v>
      </c>
      <c r="D3687" s="1" t="s">
        <v>711</v>
      </c>
      <c r="E3687">
        <v>9</v>
      </c>
    </row>
    <row r="3688" spans="1:5" x14ac:dyDescent="0.2">
      <c r="A3688">
        <v>10040025</v>
      </c>
      <c r="B3688">
        <v>27125816</v>
      </c>
      <c r="C3688">
        <v>3</v>
      </c>
      <c r="D3688" s="1" t="s">
        <v>1539</v>
      </c>
      <c r="E3688">
        <v>9</v>
      </c>
    </row>
    <row r="3689" spans="1:5" x14ac:dyDescent="0.2">
      <c r="A3689">
        <v>10040025</v>
      </c>
      <c r="B3689">
        <v>27125816</v>
      </c>
      <c r="C3689">
        <v>4</v>
      </c>
      <c r="D3689" s="1" t="s">
        <v>649</v>
      </c>
      <c r="E3689">
        <v>9</v>
      </c>
    </row>
    <row r="3690" spans="1:5" x14ac:dyDescent="0.2">
      <c r="A3690">
        <v>10040025</v>
      </c>
      <c r="B3690">
        <v>27125816</v>
      </c>
      <c r="C3690">
        <v>5</v>
      </c>
      <c r="D3690" s="1" t="s">
        <v>384</v>
      </c>
      <c r="E3690">
        <v>9</v>
      </c>
    </row>
    <row r="3691" spans="1:5" x14ac:dyDescent="0.2">
      <c r="A3691">
        <v>10040025</v>
      </c>
      <c r="B3691">
        <v>27125816</v>
      </c>
      <c r="C3691">
        <v>8</v>
      </c>
      <c r="D3691" s="1" t="s">
        <v>466</v>
      </c>
      <c r="E3691">
        <v>9</v>
      </c>
    </row>
    <row r="3692" spans="1:5" x14ac:dyDescent="0.2">
      <c r="A3692">
        <v>10040025</v>
      </c>
      <c r="B3692">
        <v>27259207</v>
      </c>
      <c r="C3692">
        <v>29</v>
      </c>
      <c r="D3692" s="1" t="s">
        <v>620</v>
      </c>
      <c r="E3692">
        <v>10</v>
      </c>
    </row>
    <row r="3693" spans="1:5" x14ac:dyDescent="0.2">
      <c r="A3693">
        <v>10040025</v>
      </c>
      <c r="B3693">
        <v>27259207</v>
      </c>
      <c r="C3693">
        <v>25</v>
      </c>
      <c r="D3693" s="1" t="s">
        <v>1123</v>
      </c>
      <c r="E3693">
        <v>10</v>
      </c>
    </row>
    <row r="3694" spans="1:5" x14ac:dyDescent="0.2">
      <c r="A3694">
        <v>10040025</v>
      </c>
      <c r="B3694">
        <v>27259207</v>
      </c>
      <c r="C3694">
        <v>27</v>
      </c>
      <c r="D3694" s="1" t="s">
        <v>477</v>
      </c>
      <c r="E3694">
        <v>10</v>
      </c>
    </row>
    <row r="3695" spans="1:5" x14ac:dyDescent="0.2">
      <c r="A3695">
        <v>10040025</v>
      </c>
      <c r="B3695">
        <v>27259207</v>
      </c>
      <c r="C3695">
        <v>11</v>
      </c>
      <c r="D3695" s="1" t="s">
        <v>871</v>
      </c>
      <c r="E3695">
        <v>10</v>
      </c>
    </row>
    <row r="3696" spans="1:5" x14ac:dyDescent="0.2">
      <c r="A3696">
        <v>10040025</v>
      </c>
      <c r="B3696">
        <v>27259207</v>
      </c>
      <c r="C3696">
        <v>8</v>
      </c>
      <c r="D3696" s="1" t="s">
        <v>993</v>
      </c>
      <c r="E3696">
        <v>10</v>
      </c>
    </row>
    <row r="3697" spans="1:5" x14ac:dyDescent="0.2">
      <c r="A3697">
        <v>10040025</v>
      </c>
      <c r="B3697">
        <v>27259207</v>
      </c>
      <c r="C3697">
        <v>4</v>
      </c>
      <c r="D3697" s="1" t="s">
        <v>1540</v>
      </c>
      <c r="E3697">
        <v>10</v>
      </c>
    </row>
    <row r="3698" spans="1:5" x14ac:dyDescent="0.2">
      <c r="A3698">
        <v>10040025</v>
      </c>
      <c r="B3698">
        <v>27259207</v>
      </c>
      <c r="C3698">
        <v>14</v>
      </c>
      <c r="D3698" s="1" t="s">
        <v>864</v>
      </c>
      <c r="E3698">
        <v>10</v>
      </c>
    </row>
    <row r="3699" spans="1:5" x14ac:dyDescent="0.2">
      <c r="A3699">
        <v>10040025</v>
      </c>
      <c r="B3699">
        <v>27259207</v>
      </c>
      <c r="C3699">
        <v>10</v>
      </c>
      <c r="D3699" s="1" t="s">
        <v>1363</v>
      </c>
      <c r="E3699">
        <v>10</v>
      </c>
    </row>
    <row r="3700" spans="1:5" x14ac:dyDescent="0.2">
      <c r="A3700">
        <v>10040025</v>
      </c>
      <c r="B3700">
        <v>27259207</v>
      </c>
      <c r="C3700">
        <v>7</v>
      </c>
      <c r="D3700" s="1" t="s">
        <v>1541</v>
      </c>
      <c r="E3700">
        <v>10</v>
      </c>
    </row>
    <row r="3701" spans="1:5" x14ac:dyDescent="0.2">
      <c r="A3701">
        <v>10040025</v>
      </c>
      <c r="B3701">
        <v>27259207</v>
      </c>
      <c r="C3701">
        <v>17</v>
      </c>
      <c r="D3701" s="1" t="s">
        <v>329</v>
      </c>
      <c r="E3701">
        <v>10</v>
      </c>
    </row>
    <row r="3702" spans="1:5" x14ac:dyDescent="0.2">
      <c r="A3702">
        <v>10040025</v>
      </c>
      <c r="B3702">
        <v>27259207</v>
      </c>
      <c r="C3702">
        <v>18</v>
      </c>
      <c r="D3702" s="1" t="s">
        <v>560</v>
      </c>
      <c r="E3702">
        <v>10</v>
      </c>
    </row>
    <row r="3703" spans="1:5" x14ac:dyDescent="0.2">
      <c r="A3703">
        <v>10040025</v>
      </c>
      <c r="B3703">
        <v>27259207</v>
      </c>
      <c r="C3703">
        <v>2</v>
      </c>
      <c r="D3703" s="1" t="s">
        <v>1542</v>
      </c>
      <c r="E3703">
        <v>10</v>
      </c>
    </row>
    <row r="3704" spans="1:5" x14ac:dyDescent="0.2">
      <c r="A3704">
        <v>10040025</v>
      </c>
      <c r="B3704">
        <v>27259207</v>
      </c>
      <c r="C3704">
        <v>6</v>
      </c>
      <c r="D3704" s="1" t="s">
        <v>1543</v>
      </c>
      <c r="E3704">
        <v>10</v>
      </c>
    </row>
    <row r="3705" spans="1:5" x14ac:dyDescent="0.2">
      <c r="A3705">
        <v>10040025</v>
      </c>
      <c r="B3705">
        <v>27259207</v>
      </c>
      <c r="C3705">
        <v>30</v>
      </c>
      <c r="D3705" s="1" t="s">
        <v>430</v>
      </c>
      <c r="E3705">
        <v>10</v>
      </c>
    </row>
    <row r="3706" spans="1:5" x14ac:dyDescent="0.2">
      <c r="A3706">
        <v>10040025</v>
      </c>
      <c r="B3706">
        <v>27259207</v>
      </c>
      <c r="C3706">
        <v>23</v>
      </c>
      <c r="D3706" s="1" t="s">
        <v>312</v>
      </c>
      <c r="E3706">
        <v>10</v>
      </c>
    </row>
    <row r="3707" spans="1:5" x14ac:dyDescent="0.2">
      <c r="A3707">
        <v>10040025</v>
      </c>
      <c r="B3707">
        <v>27259207</v>
      </c>
      <c r="C3707">
        <v>9</v>
      </c>
      <c r="D3707" s="1" t="s">
        <v>1544</v>
      </c>
      <c r="E3707">
        <v>10</v>
      </c>
    </row>
    <row r="3708" spans="1:5" x14ac:dyDescent="0.2">
      <c r="A3708">
        <v>10040025</v>
      </c>
      <c r="B3708">
        <v>27259207</v>
      </c>
      <c r="C3708">
        <v>16</v>
      </c>
      <c r="D3708" s="1" t="s">
        <v>630</v>
      </c>
      <c r="E3708">
        <v>10</v>
      </c>
    </row>
    <row r="3709" spans="1:5" x14ac:dyDescent="0.2">
      <c r="A3709">
        <v>10040025</v>
      </c>
      <c r="B3709">
        <v>27259207</v>
      </c>
      <c r="C3709">
        <v>24</v>
      </c>
      <c r="D3709" s="1" t="s">
        <v>1070</v>
      </c>
      <c r="E3709">
        <v>10</v>
      </c>
    </row>
    <row r="3710" spans="1:5" x14ac:dyDescent="0.2">
      <c r="A3710">
        <v>10040025</v>
      </c>
      <c r="B3710">
        <v>27259207</v>
      </c>
      <c r="C3710">
        <v>21</v>
      </c>
      <c r="D3710" s="1" t="s">
        <v>479</v>
      </c>
      <c r="E3710">
        <v>10</v>
      </c>
    </row>
    <row r="3711" spans="1:5" x14ac:dyDescent="0.2">
      <c r="A3711">
        <v>10040025</v>
      </c>
      <c r="B3711">
        <v>27259207</v>
      </c>
      <c r="C3711">
        <v>13</v>
      </c>
      <c r="D3711" s="1" t="s">
        <v>447</v>
      </c>
      <c r="E3711">
        <v>10</v>
      </c>
    </row>
    <row r="3712" spans="1:5" x14ac:dyDescent="0.2">
      <c r="A3712">
        <v>10040025</v>
      </c>
      <c r="B3712">
        <v>27259207</v>
      </c>
      <c r="C3712">
        <v>15</v>
      </c>
      <c r="D3712" s="1" t="s">
        <v>324</v>
      </c>
      <c r="E3712">
        <v>10</v>
      </c>
    </row>
    <row r="3713" spans="1:5" x14ac:dyDescent="0.2">
      <c r="A3713">
        <v>10040025</v>
      </c>
      <c r="B3713">
        <v>27259207</v>
      </c>
      <c r="C3713">
        <v>19</v>
      </c>
      <c r="D3713" s="1" t="s">
        <v>335</v>
      </c>
      <c r="E3713">
        <v>10</v>
      </c>
    </row>
    <row r="3714" spans="1:5" x14ac:dyDescent="0.2">
      <c r="A3714">
        <v>10040025</v>
      </c>
      <c r="B3714">
        <v>27259207</v>
      </c>
      <c r="C3714">
        <v>12</v>
      </c>
      <c r="D3714" s="1" t="s">
        <v>867</v>
      </c>
      <c r="E3714">
        <v>10</v>
      </c>
    </row>
    <row r="3715" spans="1:5" x14ac:dyDescent="0.2">
      <c r="A3715">
        <v>10040025</v>
      </c>
      <c r="B3715">
        <v>27259207</v>
      </c>
      <c r="C3715">
        <v>26</v>
      </c>
      <c r="D3715" s="1" t="s">
        <v>762</v>
      </c>
      <c r="E3715">
        <v>10</v>
      </c>
    </row>
    <row r="3716" spans="1:5" x14ac:dyDescent="0.2">
      <c r="A3716">
        <v>10040025</v>
      </c>
      <c r="B3716">
        <v>27259207</v>
      </c>
      <c r="C3716">
        <v>5</v>
      </c>
      <c r="D3716" s="1" t="s">
        <v>1545</v>
      </c>
      <c r="E3716">
        <v>10</v>
      </c>
    </row>
    <row r="3717" spans="1:5" x14ac:dyDescent="0.2">
      <c r="A3717">
        <v>10040025</v>
      </c>
      <c r="B3717">
        <v>27259207</v>
      </c>
      <c r="C3717">
        <v>28</v>
      </c>
      <c r="D3717" s="1" t="s">
        <v>380</v>
      </c>
      <c r="E3717">
        <v>10</v>
      </c>
    </row>
    <row r="3718" spans="1:5" x14ac:dyDescent="0.2">
      <c r="A3718">
        <v>10040025</v>
      </c>
      <c r="B3718">
        <v>27259207</v>
      </c>
      <c r="C3718">
        <v>3</v>
      </c>
      <c r="D3718" s="1" t="s">
        <v>1546</v>
      </c>
      <c r="E3718">
        <v>10</v>
      </c>
    </row>
    <row r="3719" spans="1:5" x14ac:dyDescent="0.2">
      <c r="A3719">
        <v>10040025</v>
      </c>
      <c r="B3719">
        <v>27259207</v>
      </c>
      <c r="C3719">
        <v>22</v>
      </c>
      <c r="D3719" s="1" t="s">
        <v>1102</v>
      </c>
      <c r="E3719">
        <v>10</v>
      </c>
    </row>
    <row r="3720" spans="1:5" x14ac:dyDescent="0.2">
      <c r="A3720">
        <v>10040025</v>
      </c>
      <c r="B3720">
        <v>27259207</v>
      </c>
      <c r="C3720">
        <v>20</v>
      </c>
      <c r="D3720" s="1" t="s">
        <v>378</v>
      </c>
      <c r="E3720">
        <v>10</v>
      </c>
    </row>
    <row r="3721" spans="1:5" x14ac:dyDescent="0.2">
      <c r="A3721">
        <v>10040025</v>
      </c>
      <c r="B3721">
        <v>27259207</v>
      </c>
      <c r="C3721">
        <v>1</v>
      </c>
      <c r="D3721" s="1" t="s">
        <v>991</v>
      </c>
      <c r="E3721">
        <v>10</v>
      </c>
    </row>
    <row r="3722" spans="1:5" x14ac:dyDescent="0.2">
      <c r="A3722">
        <v>10040025</v>
      </c>
      <c r="B3722">
        <v>25172300</v>
      </c>
      <c r="C3722">
        <v>8</v>
      </c>
      <c r="D3722" s="1" t="s">
        <v>388</v>
      </c>
      <c r="E3722">
        <v>9</v>
      </c>
    </row>
    <row r="3723" spans="1:5" x14ac:dyDescent="0.2">
      <c r="A3723">
        <v>10040025</v>
      </c>
      <c r="B3723">
        <v>25172300</v>
      </c>
      <c r="C3723">
        <v>27</v>
      </c>
      <c r="D3723" s="1" t="s">
        <v>359</v>
      </c>
      <c r="E3723">
        <v>9</v>
      </c>
    </row>
    <row r="3724" spans="1:5" x14ac:dyDescent="0.2">
      <c r="A3724">
        <v>10040025</v>
      </c>
      <c r="B3724">
        <v>25172300</v>
      </c>
      <c r="C3724">
        <v>25</v>
      </c>
      <c r="D3724" s="1" t="s">
        <v>418</v>
      </c>
      <c r="E3724">
        <v>9</v>
      </c>
    </row>
    <row r="3725" spans="1:5" x14ac:dyDescent="0.2">
      <c r="A3725">
        <v>10040025</v>
      </c>
      <c r="B3725">
        <v>25172300</v>
      </c>
      <c r="C3725">
        <v>10</v>
      </c>
      <c r="D3725" s="1" t="s">
        <v>580</v>
      </c>
      <c r="E3725">
        <v>9</v>
      </c>
    </row>
    <row r="3726" spans="1:5" x14ac:dyDescent="0.2">
      <c r="A3726">
        <v>10040025</v>
      </c>
      <c r="B3726">
        <v>25172300</v>
      </c>
      <c r="C3726">
        <v>9</v>
      </c>
      <c r="D3726" s="1" t="s">
        <v>272</v>
      </c>
      <c r="E3726">
        <v>9</v>
      </c>
    </row>
    <row r="3727" spans="1:5" x14ac:dyDescent="0.2">
      <c r="A3727">
        <v>10040025</v>
      </c>
      <c r="B3727">
        <v>25172300</v>
      </c>
      <c r="C3727">
        <v>26</v>
      </c>
      <c r="D3727" s="1" t="s">
        <v>466</v>
      </c>
      <c r="E3727">
        <v>9</v>
      </c>
    </row>
    <row r="3728" spans="1:5" x14ac:dyDescent="0.2">
      <c r="A3728">
        <v>10040025</v>
      </c>
      <c r="B3728">
        <v>25172300</v>
      </c>
      <c r="C3728">
        <v>13</v>
      </c>
      <c r="D3728" s="1" t="s">
        <v>405</v>
      </c>
      <c r="E3728">
        <v>9</v>
      </c>
    </row>
    <row r="3729" spans="1:5" x14ac:dyDescent="0.2">
      <c r="A3729">
        <v>10040025</v>
      </c>
      <c r="B3729">
        <v>25172300</v>
      </c>
      <c r="C3729">
        <v>24</v>
      </c>
      <c r="D3729" s="1" t="s">
        <v>711</v>
      </c>
      <c r="E3729">
        <v>9</v>
      </c>
    </row>
    <row r="3730" spans="1:5" x14ac:dyDescent="0.2">
      <c r="A3730">
        <v>10040025</v>
      </c>
      <c r="B3730">
        <v>25172300</v>
      </c>
      <c r="C3730">
        <v>3</v>
      </c>
      <c r="D3730" s="1" t="s">
        <v>320</v>
      </c>
      <c r="E3730">
        <v>9</v>
      </c>
    </row>
    <row r="3731" spans="1:5" x14ac:dyDescent="0.2">
      <c r="A3731">
        <v>10040025</v>
      </c>
      <c r="B3731">
        <v>25172300</v>
      </c>
      <c r="C3731">
        <v>5</v>
      </c>
      <c r="D3731" s="1" t="s">
        <v>1452</v>
      </c>
      <c r="E3731">
        <v>9</v>
      </c>
    </row>
    <row r="3732" spans="1:5" x14ac:dyDescent="0.2">
      <c r="A3732">
        <v>10040025</v>
      </c>
      <c r="B3732">
        <v>25172300</v>
      </c>
      <c r="C3732">
        <v>21</v>
      </c>
      <c r="D3732" s="1" t="s">
        <v>1254</v>
      </c>
      <c r="E3732">
        <v>9</v>
      </c>
    </row>
    <row r="3733" spans="1:5" x14ac:dyDescent="0.2">
      <c r="A3733">
        <v>10040025</v>
      </c>
      <c r="B3733">
        <v>25172300</v>
      </c>
      <c r="C3733">
        <v>4</v>
      </c>
      <c r="D3733" s="1" t="s">
        <v>1547</v>
      </c>
      <c r="E3733">
        <v>9</v>
      </c>
    </row>
    <row r="3734" spans="1:5" x14ac:dyDescent="0.2">
      <c r="A3734">
        <v>10040025</v>
      </c>
      <c r="B3734">
        <v>25172300</v>
      </c>
      <c r="C3734">
        <v>6</v>
      </c>
      <c r="D3734" s="1" t="s">
        <v>649</v>
      </c>
      <c r="E3734">
        <v>9</v>
      </c>
    </row>
    <row r="3735" spans="1:5" x14ac:dyDescent="0.2">
      <c r="A3735">
        <v>10040025</v>
      </c>
      <c r="B3735">
        <v>25172300</v>
      </c>
      <c r="C3735">
        <v>17</v>
      </c>
      <c r="D3735" s="1" t="s">
        <v>261</v>
      </c>
      <c r="E3735">
        <v>9</v>
      </c>
    </row>
    <row r="3736" spans="1:5" x14ac:dyDescent="0.2">
      <c r="A3736">
        <v>10040025</v>
      </c>
      <c r="B3736">
        <v>25172300</v>
      </c>
      <c r="C3736">
        <v>18</v>
      </c>
      <c r="D3736" s="1" t="s">
        <v>259</v>
      </c>
      <c r="E3736">
        <v>9</v>
      </c>
    </row>
    <row r="3737" spans="1:5" x14ac:dyDescent="0.2">
      <c r="A3737">
        <v>10040025</v>
      </c>
      <c r="B3737">
        <v>25172300</v>
      </c>
      <c r="C3737">
        <v>15</v>
      </c>
      <c r="D3737" s="1" t="s">
        <v>295</v>
      </c>
      <c r="E3737">
        <v>9</v>
      </c>
    </row>
    <row r="3738" spans="1:5" x14ac:dyDescent="0.2">
      <c r="A3738">
        <v>10040025</v>
      </c>
      <c r="B3738">
        <v>25172300</v>
      </c>
      <c r="C3738">
        <v>19</v>
      </c>
      <c r="D3738" s="1" t="s">
        <v>539</v>
      </c>
      <c r="E3738">
        <v>9</v>
      </c>
    </row>
    <row r="3739" spans="1:5" x14ac:dyDescent="0.2">
      <c r="A3739">
        <v>10040025</v>
      </c>
      <c r="B3739">
        <v>25172300</v>
      </c>
      <c r="C3739">
        <v>22</v>
      </c>
      <c r="D3739" s="1" t="s">
        <v>382</v>
      </c>
      <c r="E3739">
        <v>9</v>
      </c>
    </row>
    <row r="3740" spans="1:5" x14ac:dyDescent="0.2">
      <c r="A3740">
        <v>10040025</v>
      </c>
      <c r="B3740">
        <v>25172300</v>
      </c>
      <c r="C3740">
        <v>14</v>
      </c>
      <c r="D3740" s="1" t="s">
        <v>406</v>
      </c>
      <c r="E3740">
        <v>9</v>
      </c>
    </row>
    <row r="3741" spans="1:5" x14ac:dyDescent="0.2">
      <c r="A3741">
        <v>10040025</v>
      </c>
      <c r="B3741">
        <v>25172300</v>
      </c>
      <c r="C3741">
        <v>20</v>
      </c>
      <c r="D3741" s="1" t="s">
        <v>1548</v>
      </c>
      <c r="E3741">
        <v>9</v>
      </c>
    </row>
    <row r="3742" spans="1:5" x14ac:dyDescent="0.2">
      <c r="A3742">
        <v>10040025</v>
      </c>
      <c r="B3742">
        <v>25172300</v>
      </c>
      <c r="C3742">
        <v>2</v>
      </c>
      <c r="D3742" s="1" t="s">
        <v>273</v>
      </c>
      <c r="E3742">
        <v>9</v>
      </c>
    </row>
    <row r="3743" spans="1:5" x14ac:dyDescent="0.2">
      <c r="A3743">
        <v>10040025</v>
      </c>
      <c r="B3743">
        <v>25172300</v>
      </c>
      <c r="C3743">
        <v>7</v>
      </c>
      <c r="D3743" s="1" t="s">
        <v>384</v>
      </c>
      <c r="E3743">
        <v>9</v>
      </c>
    </row>
    <row r="3744" spans="1:5" x14ac:dyDescent="0.2">
      <c r="A3744">
        <v>10040025</v>
      </c>
      <c r="B3744">
        <v>25172300</v>
      </c>
      <c r="C3744">
        <v>23</v>
      </c>
      <c r="D3744" s="1" t="s">
        <v>260</v>
      </c>
      <c r="E3744">
        <v>9</v>
      </c>
    </row>
    <row r="3745" spans="1:5" x14ac:dyDescent="0.2">
      <c r="A3745">
        <v>10040025</v>
      </c>
      <c r="B3745">
        <v>25172300</v>
      </c>
      <c r="C3745">
        <v>1</v>
      </c>
      <c r="D3745" s="1" t="s">
        <v>1549</v>
      </c>
      <c r="E3745">
        <v>9</v>
      </c>
    </row>
    <row r="3746" spans="1:5" x14ac:dyDescent="0.2">
      <c r="A3746">
        <v>10040025</v>
      </c>
      <c r="B3746">
        <v>25172300</v>
      </c>
      <c r="C3746">
        <v>12</v>
      </c>
      <c r="D3746" s="1" t="s">
        <v>253</v>
      </c>
      <c r="E3746">
        <v>9</v>
      </c>
    </row>
    <row r="3747" spans="1:5" x14ac:dyDescent="0.2">
      <c r="A3747">
        <v>10040025</v>
      </c>
      <c r="B3747">
        <v>25172300</v>
      </c>
      <c r="C3747">
        <v>16</v>
      </c>
      <c r="D3747" s="1" t="s">
        <v>713</v>
      </c>
      <c r="E3747">
        <v>9</v>
      </c>
    </row>
    <row r="3748" spans="1:5" x14ac:dyDescent="0.2">
      <c r="A3748">
        <v>10040025</v>
      </c>
      <c r="B3748">
        <v>25172300</v>
      </c>
      <c r="C3748">
        <v>11</v>
      </c>
      <c r="D3748" s="1" t="s">
        <v>416</v>
      </c>
      <c r="E3748">
        <v>9</v>
      </c>
    </row>
    <row r="3749" spans="1:5" x14ac:dyDescent="0.2">
      <c r="A3749">
        <v>10040025</v>
      </c>
      <c r="B3749">
        <v>25172300</v>
      </c>
      <c r="C3749">
        <v>28</v>
      </c>
      <c r="D3749" s="1" t="s">
        <v>1550</v>
      </c>
      <c r="E3749">
        <v>9</v>
      </c>
    </row>
    <row r="3750" spans="1:5" x14ac:dyDescent="0.2">
      <c r="A3750">
        <v>10040025</v>
      </c>
      <c r="B3750">
        <v>27996267</v>
      </c>
      <c r="C3750">
        <v>13</v>
      </c>
      <c r="D3750" s="1" t="s">
        <v>864</v>
      </c>
      <c r="E3750">
        <v>10</v>
      </c>
    </row>
    <row r="3751" spans="1:5" x14ac:dyDescent="0.2">
      <c r="A3751">
        <v>10040025</v>
      </c>
      <c r="B3751">
        <v>27996267</v>
      </c>
      <c r="C3751">
        <v>15</v>
      </c>
      <c r="D3751" s="1" t="s">
        <v>733</v>
      </c>
      <c r="E3751">
        <v>10</v>
      </c>
    </row>
    <row r="3752" spans="1:5" x14ac:dyDescent="0.2">
      <c r="A3752">
        <v>10040025</v>
      </c>
      <c r="B3752">
        <v>27996267</v>
      </c>
      <c r="C3752">
        <v>10</v>
      </c>
      <c r="D3752" s="1" t="s">
        <v>867</v>
      </c>
      <c r="E3752">
        <v>10</v>
      </c>
    </row>
    <row r="3753" spans="1:5" x14ac:dyDescent="0.2">
      <c r="A3753">
        <v>10040025</v>
      </c>
      <c r="B3753">
        <v>27996267</v>
      </c>
      <c r="C3753">
        <v>22</v>
      </c>
      <c r="D3753" s="1" t="s">
        <v>983</v>
      </c>
      <c r="E3753">
        <v>10</v>
      </c>
    </row>
    <row r="3754" spans="1:5" x14ac:dyDescent="0.2">
      <c r="A3754">
        <v>10040025</v>
      </c>
      <c r="B3754">
        <v>27996267</v>
      </c>
      <c r="C3754">
        <v>6</v>
      </c>
      <c r="D3754" s="1" t="s">
        <v>993</v>
      </c>
      <c r="E3754">
        <v>10</v>
      </c>
    </row>
    <row r="3755" spans="1:5" x14ac:dyDescent="0.2">
      <c r="A3755">
        <v>10040025</v>
      </c>
      <c r="B3755">
        <v>27996267</v>
      </c>
      <c r="C3755">
        <v>23</v>
      </c>
      <c r="D3755" s="1" t="s">
        <v>1551</v>
      </c>
      <c r="E3755">
        <v>10</v>
      </c>
    </row>
    <row r="3756" spans="1:5" x14ac:dyDescent="0.2">
      <c r="A3756">
        <v>10040025</v>
      </c>
      <c r="B3756">
        <v>27996267</v>
      </c>
      <c r="C3756">
        <v>26</v>
      </c>
      <c r="D3756" s="1" t="s">
        <v>335</v>
      </c>
      <c r="E3756">
        <v>10</v>
      </c>
    </row>
    <row r="3757" spans="1:5" x14ac:dyDescent="0.2">
      <c r="A3757">
        <v>10040025</v>
      </c>
      <c r="B3757">
        <v>27996267</v>
      </c>
      <c r="C3757">
        <v>30</v>
      </c>
      <c r="D3757" s="1" t="s">
        <v>558</v>
      </c>
      <c r="E3757">
        <v>10</v>
      </c>
    </row>
    <row r="3758" spans="1:5" x14ac:dyDescent="0.2">
      <c r="A3758">
        <v>10040025</v>
      </c>
      <c r="B3758">
        <v>27996267</v>
      </c>
      <c r="C3758">
        <v>24</v>
      </c>
      <c r="D3758" s="1" t="s">
        <v>329</v>
      </c>
      <c r="E3758">
        <v>10</v>
      </c>
    </row>
    <row r="3759" spans="1:5" x14ac:dyDescent="0.2">
      <c r="A3759">
        <v>10040025</v>
      </c>
      <c r="B3759">
        <v>27996267</v>
      </c>
      <c r="C3759">
        <v>36</v>
      </c>
      <c r="D3759" s="1" t="s">
        <v>1113</v>
      </c>
      <c r="E3759">
        <v>10</v>
      </c>
    </row>
    <row r="3760" spans="1:5" x14ac:dyDescent="0.2">
      <c r="A3760">
        <v>10040025</v>
      </c>
      <c r="B3760">
        <v>27996267</v>
      </c>
      <c r="C3760">
        <v>17</v>
      </c>
      <c r="D3760" s="1" t="s">
        <v>1153</v>
      </c>
      <c r="E3760">
        <v>10</v>
      </c>
    </row>
    <row r="3761" spans="1:5" x14ac:dyDescent="0.2">
      <c r="A3761">
        <v>10040025</v>
      </c>
      <c r="B3761">
        <v>27996267</v>
      </c>
      <c r="C3761">
        <v>20</v>
      </c>
      <c r="D3761" s="1" t="s">
        <v>629</v>
      </c>
      <c r="E3761">
        <v>10</v>
      </c>
    </row>
    <row r="3762" spans="1:5" x14ac:dyDescent="0.2">
      <c r="A3762">
        <v>10040025</v>
      </c>
      <c r="B3762">
        <v>27996267</v>
      </c>
      <c r="C3762">
        <v>33</v>
      </c>
      <c r="D3762" s="1" t="s">
        <v>1552</v>
      </c>
      <c r="E3762">
        <v>10</v>
      </c>
    </row>
    <row r="3763" spans="1:5" x14ac:dyDescent="0.2">
      <c r="A3763">
        <v>10040025</v>
      </c>
      <c r="B3763">
        <v>27996267</v>
      </c>
      <c r="C3763">
        <v>3</v>
      </c>
      <c r="D3763" s="1" t="s">
        <v>423</v>
      </c>
      <c r="E3763">
        <v>10</v>
      </c>
    </row>
    <row r="3764" spans="1:5" x14ac:dyDescent="0.2">
      <c r="A3764">
        <v>10040025</v>
      </c>
      <c r="B3764">
        <v>27996267</v>
      </c>
      <c r="C3764">
        <v>29</v>
      </c>
      <c r="D3764" s="1" t="s">
        <v>1070</v>
      </c>
      <c r="E3764">
        <v>10</v>
      </c>
    </row>
    <row r="3765" spans="1:5" x14ac:dyDescent="0.2">
      <c r="A3765">
        <v>10040025</v>
      </c>
      <c r="B3765">
        <v>27996267</v>
      </c>
      <c r="C3765">
        <v>34</v>
      </c>
      <c r="D3765" s="1" t="s">
        <v>1553</v>
      </c>
      <c r="E3765">
        <v>10</v>
      </c>
    </row>
    <row r="3766" spans="1:5" x14ac:dyDescent="0.2">
      <c r="A3766">
        <v>10040025</v>
      </c>
      <c r="B3766">
        <v>27996267</v>
      </c>
      <c r="C3766">
        <v>12</v>
      </c>
      <c r="D3766" s="1" t="s">
        <v>1103</v>
      </c>
      <c r="E3766">
        <v>10</v>
      </c>
    </row>
    <row r="3767" spans="1:5" x14ac:dyDescent="0.2">
      <c r="A3767">
        <v>10040025</v>
      </c>
      <c r="B3767">
        <v>27996267</v>
      </c>
      <c r="C3767">
        <v>39</v>
      </c>
      <c r="D3767" s="1" t="s">
        <v>337</v>
      </c>
      <c r="E3767">
        <v>10</v>
      </c>
    </row>
    <row r="3768" spans="1:5" x14ac:dyDescent="0.2">
      <c r="A3768">
        <v>10040025</v>
      </c>
      <c r="B3768">
        <v>27996267</v>
      </c>
      <c r="C3768">
        <v>32</v>
      </c>
      <c r="D3768" s="1" t="s">
        <v>991</v>
      </c>
      <c r="E3768">
        <v>10</v>
      </c>
    </row>
    <row r="3769" spans="1:5" x14ac:dyDescent="0.2">
      <c r="A3769">
        <v>10040025</v>
      </c>
      <c r="B3769">
        <v>27996267</v>
      </c>
      <c r="C3769">
        <v>8</v>
      </c>
      <c r="D3769" s="1" t="s">
        <v>627</v>
      </c>
      <c r="E3769">
        <v>10</v>
      </c>
    </row>
    <row r="3770" spans="1:5" x14ac:dyDescent="0.2">
      <c r="A3770">
        <v>10040025</v>
      </c>
      <c r="B3770">
        <v>27996267</v>
      </c>
      <c r="C3770">
        <v>14</v>
      </c>
      <c r="D3770" s="1" t="s">
        <v>563</v>
      </c>
      <c r="E3770">
        <v>10</v>
      </c>
    </row>
    <row r="3771" spans="1:5" x14ac:dyDescent="0.2">
      <c r="A3771">
        <v>10040025</v>
      </c>
      <c r="B3771">
        <v>27996267</v>
      </c>
      <c r="C3771">
        <v>21</v>
      </c>
      <c r="D3771" s="1" t="s">
        <v>1554</v>
      </c>
      <c r="E3771">
        <v>10</v>
      </c>
    </row>
    <row r="3772" spans="1:5" x14ac:dyDescent="0.2">
      <c r="A3772">
        <v>10040025</v>
      </c>
      <c r="B3772">
        <v>27996267</v>
      </c>
      <c r="C3772">
        <v>31</v>
      </c>
      <c r="D3772" s="1" t="s">
        <v>438</v>
      </c>
      <c r="E3772">
        <v>10</v>
      </c>
    </row>
    <row r="3773" spans="1:5" x14ac:dyDescent="0.2">
      <c r="A3773">
        <v>10040025</v>
      </c>
      <c r="B3773">
        <v>27996267</v>
      </c>
      <c r="C3773">
        <v>19</v>
      </c>
      <c r="D3773" s="1" t="s">
        <v>1555</v>
      </c>
      <c r="E3773">
        <v>10</v>
      </c>
    </row>
    <row r="3774" spans="1:5" x14ac:dyDescent="0.2">
      <c r="A3774">
        <v>10040025</v>
      </c>
      <c r="B3774">
        <v>27996267</v>
      </c>
      <c r="C3774">
        <v>27</v>
      </c>
      <c r="D3774" s="1" t="s">
        <v>1102</v>
      </c>
      <c r="E3774">
        <v>10</v>
      </c>
    </row>
    <row r="3775" spans="1:5" x14ac:dyDescent="0.2">
      <c r="A3775">
        <v>10040025</v>
      </c>
      <c r="B3775">
        <v>27996267</v>
      </c>
      <c r="C3775">
        <v>37</v>
      </c>
      <c r="D3775" s="1" t="s">
        <v>1556</v>
      </c>
      <c r="E3775">
        <v>10</v>
      </c>
    </row>
    <row r="3776" spans="1:5" x14ac:dyDescent="0.2">
      <c r="A3776">
        <v>10040025</v>
      </c>
      <c r="B3776">
        <v>27996267</v>
      </c>
      <c r="C3776">
        <v>38</v>
      </c>
      <c r="D3776" s="1" t="s">
        <v>1145</v>
      </c>
      <c r="E3776">
        <v>10</v>
      </c>
    </row>
    <row r="3777" spans="1:5" x14ac:dyDescent="0.2">
      <c r="A3777">
        <v>10040025</v>
      </c>
      <c r="B3777">
        <v>27996267</v>
      </c>
      <c r="C3777">
        <v>9</v>
      </c>
      <c r="D3777" s="1" t="s">
        <v>1467</v>
      </c>
      <c r="E3777">
        <v>10</v>
      </c>
    </row>
    <row r="3778" spans="1:5" x14ac:dyDescent="0.2">
      <c r="A3778">
        <v>10040025</v>
      </c>
      <c r="B3778">
        <v>27996267</v>
      </c>
      <c r="C3778">
        <v>1</v>
      </c>
      <c r="D3778" s="1" t="s">
        <v>907</v>
      </c>
      <c r="E3778">
        <v>10</v>
      </c>
    </row>
    <row r="3779" spans="1:5" x14ac:dyDescent="0.2">
      <c r="A3779">
        <v>10040025</v>
      </c>
      <c r="B3779">
        <v>27996267</v>
      </c>
      <c r="C3779">
        <v>4</v>
      </c>
      <c r="D3779" s="1" t="s">
        <v>1224</v>
      </c>
      <c r="E3779">
        <v>10</v>
      </c>
    </row>
    <row r="3780" spans="1:5" x14ac:dyDescent="0.2">
      <c r="A3780">
        <v>10040025</v>
      </c>
      <c r="B3780">
        <v>27996267</v>
      </c>
      <c r="C3780">
        <v>28</v>
      </c>
      <c r="D3780" s="1" t="s">
        <v>324</v>
      </c>
      <c r="E3780">
        <v>10</v>
      </c>
    </row>
    <row r="3781" spans="1:5" x14ac:dyDescent="0.2">
      <c r="A3781">
        <v>10040025</v>
      </c>
      <c r="B3781">
        <v>27996267</v>
      </c>
      <c r="C3781">
        <v>2</v>
      </c>
      <c r="D3781" s="1" t="s">
        <v>897</v>
      </c>
      <c r="E3781">
        <v>10</v>
      </c>
    </row>
    <row r="3782" spans="1:5" x14ac:dyDescent="0.2">
      <c r="A3782">
        <v>10040025</v>
      </c>
      <c r="B3782">
        <v>27996267</v>
      </c>
      <c r="C3782">
        <v>7</v>
      </c>
      <c r="D3782" s="1" t="s">
        <v>1127</v>
      </c>
      <c r="E3782">
        <v>10</v>
      </c>
    </row>
    <row r="3783" spans="1:5" x14ac:dyDescent="0.2">
      <c r="A3783">
        <v>10040025</v>
      </c>
      <c r="B3783">
        <v>27996267</v>
      </c>
      <c r="C3783">
        <v>16</v>
      </c>
      <c r="D3783" s="1" t="s">
        <v>1274</v>
      </c>
      <c r="E3783">
        <v>10</v>
      </c>
    </row>
    <row r="3784" spans="1:5" x14ac:dyDescent="0.2">
      <c r="A3784">
        <v>10040025</v>
      </c>
      <c r="B3784">
        <v>27996267</v>
      </c>
      <c r="C3784">
        <v>18</v>
      </c>
      <c r="D3784" s="1" t="s">
        <v>1557</v>
      </c>
      <c r="E3784">
        <v>10</v>
      </c>
    </row>
    <row r="3785" spans="1:5" x14ac:dyDescent="0.2">
      <c r="A3785">
        <v>10040025</v>
      </c>
      <c r="B3785">
        <v>27996267</v>
      </c>
      <c r="C3785">
        <v>35</v>
      </c>
      <c r="D3785" s="1" t="s">
        <v>1033</v>
      </c>
      <c r="E3785">
        <v>10</v>
      </c>
    </row>
    <row r="3786" spans="1:5" x14ac:dyDescent="0.2">
      <c r="A3786">
        <v>10040025</v>
      </c>
      <c r="B3786">
        <v>27996267</v>
      </c>
      <c r="C3786">
        <v>5</v>
      </c>
      <c r="D3786" s="1" t="s">
        <v>334</v>
      </c>
      <c r="E3786">
        <v>10</v>
      </c>
    </row>
    <row r="3787" spans="1:5" x14ac:dyDescent="0.2">
      <c r="A3787">
        <v>10040025</v>
      </c>
      <c r="B3787">
        <v>27996267</v>
      </c>
      <c r="C3787">
        <v>11</v>
      </c>
      <c r="D3787" s="1" t="s">
        <v>326</v>
      </c>
      <c r="E3787">
        <v>10</v>
      </c>
    </row>
    <row r="3788" spans="1:5" x14ac:dyDescent="0.2">
      <c r="A3788">
        <v>10040025</v>
      </c>
      <c r="B3788">
        <v>27996267</v>
      </c>
      <c r="C3788">
        <v>25</v>
      </c>
      <c r="D3788" s="1" t="s">
        <v>560</v>
      </c>
      <c r="E3788">
        <v>10</v>
      </c>
    </row>
    <row r="3789" spans="1:5" x14ac:dyDescent="0.2">
      <c r="A3789">
        <v>10040025</v>
      </c>
      <c r="B3789">
        <v>21791856</v>
      </c>
      <c r="C3789">
        <v>17</v>
      </c>
      <c r="D3789" s="1" t="s">
        <v>762</v>
      </c>
      <c r="E3789">
        <v>10</v>
      </c>
    </row>
    <row r="3790" spans="1:5" x14ac:dyDescent="0.2">
      <c r="A3790">
        <v>10040025</v>
      </c>
      <c r="B3790">
        <v>21791856</v>
      </c>
      <c r="C3790">
        <v>12</v>
      </c>
      <c r="D3790" s="1" t="s">
        <v>1558</v>
      </c>
      <c r="E3790">
        <v>10</v>
      </c>
    </row>
    <row r="3791" spans="1:5" x14ac:dyDescent="0.2">
      <c r="A3791">
        <v>10040025</v>
      </c>
      <c r="B3791">
        <v>21791856</v>
      </c>
      <c r="C3791">
        <v>21</v>
      </c>
      <c r="D3791" s="1" t="s">
        <v>378</v>
      </c>
      <c r="E3791">
        <v>10</v>
      </c>
    </row>
    <row r="3792" spans="1:5" x14ac:dyDescent="0.2">
      <c r="A3792">
        <v>10040025</v>
      </c>
      <c r="B3792">
        <v>21791856</v>
      </c>
      <c r="C3792">
        <v>22</v>
      </c>
      <c r="D3792" s="1" t="s">
        <v>479</v>
      </c>
      <c r="E3792">
        <v>10</v>
      </c>
    </row>
    <row r="3793" spans="1:5" x14ac:dyDescent="0.2">
      <c r="A3793">
        <v>10040025</v>
      </c>
      <c r="B3793">
        <v>21791856</v>
      </c>
      <c r="C3793">
        <v>26</v>
      </c>
      <c r="D3793" s="1" t="s">
        <v>1070</v>
      </c>
      <c r="E3793">
        <v>10</v>
      </c>
    </row>
    <row r="3794" spans="1:5" x14ac:dyDescent="0.2">
      <c r="A3794">
        <v>10040025</v>
      </c>
      <c r="B3794">
        <v>21791856</v>
      </c>
      <c r="C3794">
        <v>16</v>
      </c>
      <c r="D3794" s="1" t="s">
        <v>477</v>
      </c>
      <c r="E3794">
        <v>10</v>
      </c>
    </row>
    <row r="3795" spans="1:5" x14ac:dyDescent="0.2">
      <c r="A3795">
        <v>10040025</v>
      </c>
      <c r="B3795">
        <v>21791856</v>
      </c>
      <c r="C3795">
        <v>11</v>
      </c>
      <c r="D3795" s="1" t="s">
        <v>1559</v>
      </c>
      <c r="E3795">
        <v>10</v>
      </c>
    </row>
    <row r="3796" spans="1:5" x14ac:dyDescent="0.2">
      <c r="A3796">
        <v>10040025</v>
      </c>
      <c r="B3796">
        <v>21791856</v>
      </c>
      <c r="C3796">
        <v>28</v>
      </c>
      <c r="D3796" s="1" t="s">
        <v>1560</v>
      </c>
      <c r="E3796">
        <v>10</v>
      </c>
    </row>
    <row r="3797" spans="1:5" x14ac:dyDescent="0.2">
      <c r="A3797">
        <v>10040025</v>
      </c>
      <c r="B3797">
        <v>21791856</v>
      </c>
      <c r="C3797">
        <v>8</v>
      </c>
      <c r="D3797" s="1" t="s">
        <v>1224</v>
      </c>
      <c r="E3797">
        <v>10</v>
      </c>
    </row>
    <row r="3798" spans="1:5" x14ac:dyDescent="0.2">
      <c r="A3798">
        <v>10040025</v>
      </c>
      <c r="B3798">
        <v>21791856</v>
      </c>
      <c r="C3798">
        <v>6</v>
      </c>
      <c r="D3798" s="1" t="s">
        <v>864</v>
      </c>
      <c r="E3798">
        <v>10</v>
      </c>
    </row>
    <row r="3799" spans="1:5" x14ac:dyDescent="0.2">
      <c r="A3799">
        <v>10040025</v>
      </c>
      <c r="B3799">
        <v>21791856</v>
      </c>
      <c r="C3799">
        <v>23</v>
      </c>
      <c r="D3799" s="1" t="s">
        <v>1102</v>
      </c>
      <c r="E3799">
        <v>10</v>
      </c>
    </row>
    <row r="3800" spans="1:5" x14ac:dyDescent="0.2">
      <c r="A3800">
        <v>10040025</v>
      </c>
      <c r="B3800">
        <v>21791856</v>
      </c>
      <c r="C3800">
        <v>27</v>
      </c>
      <c r="D3800" s="1" t="s">
        <v>478</v>
      </c>
      <c r="E3800">
        <v>10</v>
      </c>
    </row>
    <row r="3801" spans="1:5" x14ac:dyDescent="0.2">
      <c r="A3801">
        <v>10040025</v>
      </c>
      <c r="B3801">
        <v>21791856</v>
      </c>
      <c r="C3801">
        <v>13</v>
      </c>
      <c r="D3801" s="1" t="s">
        <v>430</v>
      </c>
      <c r="E3801">
        <v>10</v>
      </c>
    </row>
    <row r="3802" spans="1:5" x14ac:dyDescent="0.2">
      <c r="A3802">
        <v>10040025</v>
      </c>
      <c r="B3802">
        <v>21791856</v>
      </c>
      <c r="C3802">
        <v>2</v>
      </c>
      <c r="D3802" s="1" t="s">
        <v>1187</v>
      </c>
      <c r="E3802">
        <v>10</v>
      </c>
    </row>
    <row r="3803" spans="1:5" x14ac:dyDescent="0.2">
      <c r="A3803">
        <v>10040025</v>
      </c>
      <c r="B3803">
        <v>21791856</v>
      </c>
      <c r="C3803">
        <v>15</v>
      </c>
      <c r="D3803" s="1" t="s">
        <v>335</v>
      </c>
      <c r="E3803">
        <v>10</v>
      </c>
    </row>
    <row r="3804" spans="1:5" x14ac:dyDescent="0.2">
      <c r="A3804">
        <v>10040025</v>
      </c>
      <c r="B3804">
        <v>21791856</v>
      </c>
      <c r="C3804">
        <v>25</v>
      </c>
      <c r="D3804" s="1" t="s">
        <v>312</v>
      </c>
      <c r="E3804">
        <v>10</v>
      </c>
    </row>
    <row r="3805" spans="1:5" x14ac:dyDescent="0.2">
      <c r="A3805">
        <v>10040025</v>
      </c>
      <c r="B3805">
        <v>21791856</v>
      </c>
      <c r="C3805">
        <v>10</v>
      </c>
      <c r="D3805" s="1" t="s">
        <v>1561</v>
      </c>
      <c r="E3805">
        <v>10</v>
      </c>
    </row>
    <row r="3806" spans="1:5" x14ac:dyDescent="0.2">
      <c r="A3806">
        <v>10040025</v>
      </c>
      <c r="B3806">
        <v>21791856</v>
      </c>
      <c r="C3806">
        <v>18</v>
      </c>
      <c r="D3806" s="1" t="s">
        <v>446</v>
      </c>
      <c r="E3806">
        <v>10</v>
      </c>
    </row>
    <row r="3807" spans="1:5" x14ac:dyDescent="0.2">
      <c r="A3807">
        <v>10040025</v>
      </c>
      <c r="B3807">
        <v>21791856</v>
      </c>
      <c r="C3807">
        <v>14</v>
      </c>
      <c r="D3807" s="1" t="s">
        <v>620</v>
      </c>
      <c r="E3807">
        <v>10</v>
      </c>
    </row>
    <row r="3808" spans="1:5" x14ac:dyDescent="0.2">
      <c r="A3808">
        <v>10040025</v>
      </c>
      <c r="B3808">
        <v>21791856</v>
      </c>
      <c r="C3808">
        <v>20</v>
      </c>
      <c r="D3808" s="1" t="s">
        <v>560</v>
      </c>
      <c r="E3808">
        <v>10</v>
      </c>
    </row>
    <row r="3809" spans="1:5" x14ac:dyDescent="0.2">
      <c r="A3809">
        <v>10040025</v>
      </c>
      <c r="B3809">
        <v>21791856</v>
      </c>
      <c r="C3809">
        <v>3</v>
      </c>
      <c r="D3809" s="1" t="s">
        <v>1186</v>
      </c>
      <c r="E3809">
        <v>10</v>
      </c>
    </row>
    <row r="3810" spans="1:5" x14ac:dyDescent="0.2">
      <c r="A3810">
        <v>10040025</v>
      </c>
      <c r="B3810">
        <v>21791856</v>
      </c>
      <c r="C3810">
        <v>5</v>
      </c>
      <c r="D3810" s="1" t="s">
        <v>324</v>
      </c>
      <c r="E3810">
        <v>10</v>
      </c>
    </row>
    <row r="3811" spans="1:5" x14ac:dyDescent="0.2">
      <c r="A3811">
        <v>10040025</v>
      </c>
      <c r="B3811">
        <v>21791856</v>
      </c>
      <c r="C3811">
        <v>7</v>
      </c>
      <c r="D3811" s="1" t="s">
        <v>867</v>
      </c>
      <c r="E3811">
        <v>10</v>
      </c>
    </row>
    <row r="3812" spans="1:5" x14ac:dyDescent="0.2">
      <c r="A3812">
        <v>10040025</v>
      </c>
      <c r="B3812">
        <v>21791856</v>
      </c>
      <c r="C3812">
        <v>24</v>
      </c>
      <c r="D3812" s="1" t="s">
        <v>1562</v>
      </c>
      <c r="E3812">
        <v>10</v>
      </c>
    </row>
    <row r="3813" spans="1:5" x14ac:dyDescent="0.2">
      <c r="A3813">
        <v>10040025</v>
      </c>
      <c r="B3813">
        <v>21791856</v>
      </c>
      <c r="C3813">
        <v>1</v>
      </c>
      <c r="D3813" s="1" t="s">
        <v>1563</v>
      </c>
      <c r="E3813">
        <v>10</v>
      </c>
    </row>
    <row r="3814" spans="1:5" x14ac:dyDescent="0.2">
      <c r="A3814">
        <v>10040025</v>
      </c>
      <c r="B3814">
        <v>21791856</v>
      </c>
      <c r="C3814">
        <v>9</v>
      </c>
      <c r="D3814" s="1" t="s">
        <v>1083</v>
      </c>
      <c r="E3814">
        <v>10</v>
      </c>
    </row>
    <row r="3815" spans="1:5" x14ac:dyDescent="0.2">
      <c r="A3815">
        <v>10040025</v>
      </c>
      <c r="B3815">
        <v>21791856</v>
      </c>
      <c r="C3815">
        <v>19</v>
      </c>
      <c r="D3815" s="1" t="s">
        <v>329</v>
      </c>
      <c r="E3815">
        <v>10</v>
      </c>
    </row>
    <row r="3816" spans="1:5" x14ac:dyDescent="0.2">
      <c r="A3816">
        <v>10040025</v>
      </c>
      <c r="B3816">
        <v>21791856</v>
      </c>
      <c r="C3816">
        <v>4</v>
      </c>
      <c r="D3816" s="1" t="s">
        <v>423</v>
      </c>
      <c r="E3816">
        <v>10</v>
      </c>
    </row>
    <row r="3817" spans="1:5" x14ac:dyDescent="0.2">
      <c r="A3817">
        <v>10040025</v>
      </c>
      <c r="B3817">
        <v>27876215</v>
      </c>
      <c r="C3817">
        <v>10</v>
      </c>
      <c r="D3817" s="1" t="s">
        <v>1153</v>
      </c>
      <c r="E3817">
        <v>10</v>
      </c>
    </row>
    <row r="3818" spans="1:5" x14ac:dyDescent="0.2">
      <c r="A3818">
        <v>10040025</v>
      </c>
      <c r="B3818">
        <v>27876215</v>
      </c>
      <c r="C3818">
        <v>20</v>
      </c>
      <c r="D3818" s="1" t="s">
        <v>329</v>
      </c>
      <c r="E3818">
        <v>10</v>
      </c>
    </row>
    <row r="3819" spans="1:5" x14ac:dyDescent="0.2">
      <c r="A3819">
        <v>10040025</v>
      </c>
      <c r="B3819">
        <v>27876215</v>
      </c>
      <c r="C3819">
        <v>22</v>
      </c>
      <c r="D3819" s="1" t="s">
        <v>378</v>
      </c>
      <c r="E3819">
        <v>10</v>
      </c>
    </row>
    <row r="3820" spans="1:5" x14ac:dyDescent="0.2">
      <c r="A3820">
        <v>10040025</v>
      </c>
      <c r="B3820">
        <v>27876215</v>
      </c>
      <c r="C3820">
        <v>27</v>
      </c>
      <c r="D3820" s="1" t="s">
        <v>380</v>
      </c>
      <c r="E3820">
        <v>10</v>
      </c>
    </row>
    <row r="3821" spans="1:5" x14ac:dyDescent="0.2">
      <c r="A3821">
        <v>10040025</v>
      </c>
      <c r="B3821">
        <v>27876215</v>
      </c>
      <c r="C3821">
        <v>30</v>
      </c>
      <c r="D3821" s="1" t="s">
        <v>1564</v>
      </c>
      <c r="E3821">
        <v>10</v>
      </c>
    </row>
    <row r="3822" spans="1:5" x14ac:dyDescent="0.2">
      <c r="A3822">
        <v>10040025</v>
      </c>
      <c r="B3822">
        <v>27876215</v>
      </c>
      <c r="C3822">
        <v>13</v>
      </c>
      <c r="D3822" s="1" t="s">
        <v>335</v>
      </c>
      <c r="E3822">
        <v>10</v>
      </c>
    </row>
    <row r="3823" spans="1:5" x14ac:dyDescent="0.2">
      <c r="A3823">
        <v>10040025</v>
      </c>
      <c r="B3823">
        <v>27876215</v>
      </c>
      <c r="C3823">
        <v>16</v>
      </c>
      <c r="D3823" s="1" t="s">
        <v>1565</v>
      </c>
      <c r="E3823">
        <v>10</v>
      </c>
    </row>
    <row r="3824" spans="1:5" x14ac:dyDescent="0.2">
      <c r="A3824">
        <v>10040025</v>
      </c>
      <c r="B3824">
        <v>27876215</v>
      </c>
      <c r="C3824">
        <v>5</v>
      </c>
      <c r="D3824" s="1" t="s">
        <v>630</v>
      </c>
      <c r="E3824">
        <v>10</v>
      </c>
    </row>
    <row r="3825" spans="1:5" x14ac:dyDescent="0.2">
      <c r="A3825">
        <v>10040025</v>
      </c>
      <c r="B3825">
        <v>27876215</v>
      </c>
      <c r="C3825">
        <v>23</v>
      </c>
      <c r="D3825" s="1" t="s">
        <v>1222</v>
      </c>
      <c r="E3825">
        <v>10</v>
      </c>
    </row>
    <row r="3826" spans="1:5" x14ac:dyDescent="0.2">
      <c r="A3826">
        <v>10040025</v>
      </c>
      <c r="B3826">
        <v>27876215</v>
      </c>
      <c r="C3826">
        <v>18</v>
      </c>
      <c r="D3826" s="1" t="s">
        <v>1070</v>
      </c>
      <c r="E3826">
        <v>10</v>
      </c>
    </row>
    <row r="3827" spans="1:5" x14ac:dyDescent="0.2">
      <c r="A3827">
        <v>10040025</v>
      </c>
      <c r="B3827">
        <v>27876215</v>
      </c>
      <c r="C3827">
        <v>7</v>
      </c>
      <c r="D3827" s="1" t="s">
        <v>334</v>
      </c>
      <c r="E3827">
        <v>10</v>
      </c>
    </row>
    <row r="3828" spans="1:5" x14ac:dyDescent="0.2">
      <c r="A3828">
        <v>10040025</v>
      </c>
      <c r="B3828">
        <v>27876215</v>
      </c>
      <c r="C3828">
        <v>1</v>
      </c>
      <c r="D3828" s="1" t="s">
        <v>1566</v>
      </c>
      <c r="E3828">
        <v>10</v>
      </c>
    </row>
    <row r="3829" spans="1:5" x14ac:dyDescent="0.2">
      <c r="A3829">
        <v>10040025</v>
      </c>
      <c r="B3829">
        <v>27876215</v>
      </c>
      <c r="C3829">
        <v>3</v>
      </c>
      <c r="D3829" s="1" t="s">
        <v>879</v>
      </c>
      <c r="E3829">
        <v>10</v>
      </c>
    </row>
    <row r="3830" spans="1:5" x14ac:dyDescent="0.2">
      <c r="A3830">
        <v>10040025</v>
      </c>
      <c r="B3830">
        <v>27876215</v>
      </c>
      <c r="C3830">
        <v>17</v>
      </c>
      <c r="D3830" s="1" t="s">
        <v>755</v>
      </c>
      <c r="E3830">
        <v>10</v>
      </c>
    </row>
    <row r="3831" spans="1:5" x14ac:dyDescent="0.2">
      <c r="A3831">
        <v>10040025</v>
      </c>
      <c r="B3831">
        <v>27876215</v>
      </c>
      <c r="C3831">
        <v>25</v>
      </c>
      <c r="D3831" s="1" t="s">
        <v>620</v>
      </c>
      <c r="E3831">
        <v>10</v>
      </c>
    </row>
    <row r="3832" spans="1:5" x14ac:dyDescent="0.2">
      <c r="A3832">
        <v>10040025</v>
      </c>
      <c r="B3832">
        <v>27876215</v>
      </c>
      <c r="C3832">
        <v>8</v>
      </c>
      <c r="D3832" s="1" t="s">
        <v>324</v>
      </c>
      <c r="E3832">
        <v>10</v>
      </c>
    </row>
    <row r="3833" spans="1:5" x14ac:dyDescent="0.2">
      <c r="A3833">
        <v>10040025</v>
      </c>
      <c r="B3833">
        <v>27876215</v>
      </c>
      <c r="C3833">
        <v>11</v>
      </c>
      <c r="D3833" s="1" t="s">
        <v>883</v>
      </c>
      <c r="E3833">
        <v>10</v>
      </c>
    </row>
    <row r="3834" spans="1:5" x14ac:dyDescent="0.2">
      <c r="A3834">
        <v>10040025</v>
      </c>
      <c r="B3834">
        <v>27876215</v>
      </c>
      <c r="C3834">
        <v>19</v>
      </c>
      <c r="D3834" s="1" t="s">
        <v>1102</v>
      </c>
      <c r="E3834">
        <v>10</v>
      </c>
    </row>
    <row r="3835" spans="1:5" x14ac:dyDescent="0.2">
      <c r="A3835">
        <v>10040025</v>
      </c>
      <c r="B3835">
        <v>27876215</v>
      </c>
      <c r="C3835">
        <v>4</v>
      </c>
      <c r="D3835" s="1" t="s">
        <v>864</v>
      </c>
      <c r="E3835">
        <v>10</v>
      </c>
    </row>
    <row r="3836" spans="1:5" x14ac:dyDescent="0.2">
      <c r="A3836">
        <v>10040025</v>
      </c>
      <c r="B3836">
        <v>27876215</v>
      </c>
      <c r="C3836">
        <v>21</v>
      </c>
      <c r="D3836" s="1" t="s">
        <v>560</v>
      </c>
      <c r="E3836">
        <v>10</v>
      </c>
    </row>
    <row r="3837" spans="1:5" x14ac:dyDescent="0.2">
      <c r="A3837">
        <v>10040025</v>
      </c>
      <c r="B3837">
        <v>27876215</v>
      </c>
      <c r="C3837">
        <v>14</v>
      </c>
      <c r="D3837" s="1" t="s">
        <v>890</v>
      </c>
      <c r="E3837">
        <v>10</v>
      </c>
    </row>
    <row r="3838" spans="1:5" x14ac:dyDescent="0.2">
      <c r="A3838">
        <v>10040025</v>
      </c>
      <c r="B3838">
        <v>27876215</v>
      </c>
      <c r="C3838">
        <v>12</v>
      </c>
      <c r="D3838" s="1" t="s">
        <v>987</v>
      </c>
      <c r="E3838">
        <v>10</v>
      </c>
    </row>
    <row r="3839" spans="1:5" x14ac:dyDescent="0.2">
      <c r="A3839">
        <v>10040025</v>
      </c>
      <c r="B3839">
        <v>27876215</v>
      </c>
      <c r="C3839">
        <v>28</v>
      </c>
      <c r="D3839" s="1" t="s">
        <v>477</v>
      </c>
      <c r="E3839">
        <v>10</v>
      </c>
    </row>
    <row r="3840" spans="1:5" x14ac:dyDescent="0.2">
      <c r="A3840">
        <v>10040025</v>
      </c>
      <c r="B3840">
        <v>27876215</v>
      </c>
      <c r="C3840">
        <v>26</v>
      </c>
      <c r="D3840" s="1" t="s">
        <v>446</v>
      </c>
      <c r="E3840">
        <v>10</v>
      </c>
    </row>
    <row r="3841" spans="1:5" x14ac:dyDescent="0.2">
      <c r="A3841">
        <v>10040025</v>
      </c>
      <c r="B3841">
        <v>27876215</v>
      </c>
      <c r="C3841">
        <v>2</v>
      </c>
      <c r="D3841" s="1" t="s">
        <v>867</v>
      </c>
      <c r="E3841">
        <v>10</v>
      </c>
    </row>
    <row r="3842" spans="1:5" x14ac:dyDescent="0.2">
      <c r="A3842">
        <v>10040025</v>
      </c>
      <c r="B3842">
        <v>27876215</v>
      </c>
      <c r="C3842">
        <v>29</v>
      </c>
      <c r="D3842" s="1" t="s">
        <v>430</v>
      </c>
      <c r="E3842">
        <v>10</v>
      </c>
    </row>
    <row r="3843" spans="1:5" x14ac:dyDescent="0.2">
      <c r="A3843">
        <v>10040025</v>
      </c>
      <c r="B3843">
        <v>27876215</v>
      </c>
      <c r="C3843">
        <v>15</v>
      </c>
      <c r="D3843" s="1" t="s">
        <v>1567</v>
      </c>
      <c r="E3843">
        <v>10</v>
      </c>
    </row>
    <row r="3844" spans="1:5" x14ac:dyDescent="0.2">
      <c r="A3844">
        <v>10040025</v>
      </c>
      <c r="B3844">
        <v>27876215</v>
      </c>
      <c r="C3844">
        <v>6</v>
      </c>
      <c r="D3844" s="1" t="s">
        <v>423</v>
      </c>
      <c r="E3844">
        <v>10</v>
      </c>
    </row>
    <row r="3845" spans="1:5" x14ac:dyDescent="0.2">
      <c r="A3845">
        <v>10040025</v>
      </c>
      <c r="B3845">
        <v>27876215</v>
      </c>
      <c r="C3845">
        <v>24</v>
      </c>
      <c r="D3845" s="1" t="s">
        <v>762</v>
      </c>
      <c r="E3845">
        <v>10</v>
      </c>
    </row>
    <row r="3846" spans="1:5" x14ac:dyDescent="0.2">
      <c r="A3846">
        <v>10040025</v>
      </c>
      <c r="B3846">
        <v>27876215</v>
      </c>
      <c r="C3846">
        <v>9</v>
      </c>
      <c r="D3846" s="1" t="s">
        <v>443</v>
      </c>
      <c r="E3846">
        <v>10</v>
      </c>
    </row>
    <row r="3847" spans="1:5" x14ac:dyDescent="0.2">
      <c r="A3847">
        <v>10040025</v>
      </c>
      <c r="B3847">
        <v>25933959</v>
      </c>
      <c r="C3847">
        <v>6</v>
      </c>
      <c r="D3847" s="1" t="s">
        <v>756</v>
      </c>
      <c r="E3847">
        <v>10</v>
      </c>
    </row>
    <row r="3848" spans="1:5" x14ac:dyDescent="0.2">
      <c r="A3848">
        <v>10040025</v>
      </c>
      <c r="B3848">
        <v>25933959</v>
      </c>
      <c r="C3848">
        <v>24</v>
      </c>
      <c r="D3848" s="1" t="s">
        <v>324</v>
      </c>
      <c r="E3848">
        <v>10</v>
      </c>
    </row>
    <row r="3849" spans="1:5" x14ac:dyDescent="0.2">
      <c r="A3849">
        <v>10040025</v>
      </c>
      <c r="B3849">
        <v>25933959</v>
      </c>
      <c r="C3849">
        <v>16</v>
      </c>
      <c r="D3849" s="1" t="s">
        <v>762</v>
      </c>
      <c r="E3849">
        <v>10</v>
      </c>
    </row>
    <row r="3850" spans="1:5" x14ac:dyDescent="0.2">
      <c r="A3850">
        <v>10040025</v>
      </c>
      <c r="B3850">
        <v>25933959</v>
      </c>
      <c r="C3850">
        <v>1</v>
      </c>
      <c r="D3850" s="1" t="s">
        <v>991</v>
      </c>
      <c r="E3850">
        <v>10</v>
      </c>
    </row>
    <row r="3851" spans="1:5" x14ac:dyDescent="0.2">
      <c r="A3851">
        <v>10040025</v>
      </c>
      <c r="B3851">
        <v>25933959</v>
      </c>
      <c r="C3851">
        <v>11</v>
      </c>
      <c r="D3851" s="1" t="s">
        <v>430</v>
      </c>
      <c r="E3851">
        <v>10</v>
      </c>
    </row>
    <row r="3852" spans="1:5" x14ac:dyDescent="0.2">
      <c r="A3852">
        <v>10040025</v>
      </c>
      <c r="B3852">
        <v>25933959</v>
      </c>
      <c r="C3852">
        <v>21</v>
      </c>
      <c r="D3852" s="1" t="s">
        <v>312</v>
      </c>
      <c r="E3852">
        <v>10</v>
      </c>
    </row>
    <row r="3853" spans="1:5" x14ac:dyDescent="0.2">
      <c r="A3853">
        <v>10040025</v>
      </c>
      <c r="B3853">
        <v>25933959</v>
      </c>
      <c r="C3853">
        <v>10</v>
      </c>
      <c r="D3853" s="1" t="s">
        <v>630</v>
      </c>
      <c r="E3853">
        <v>10</v>
      </c>
    </row>
    <row r="3854" spans="1:5" x14ac:dyDescent="0.2">
      <c r="A3854">
        <v>10040025</v>
      </c>
      <c r="B3854">
        <v>25933959</v>
      </c>
      <c r="C3854">
        <v>13</v>
      </c>
      <c r="D3854" s="1" t="s">
        <v>560</v>
      </c>
      <c r="E3854">
        <v>10</v>
      </c>
    </row>
    <row r="3855" spans="1:5" x14ac:dyDescent="0.2">
      <c r="A3855">
        <v>10040025</v>
      </c>
      <c r="B3855">
        <v>25933959</v>
      </c>
      <c r="C3855">
        <v>8</v>
      </c>
      <c r="D3855" s="1" t="s">
        <v>1568</v>
      </c>
      <c r="E3855">
        <v>10</v>
      </c>
    </row>
    <row r="3856" spans="1:5" x14ac:dyDescent="0.2">
      <c r="A3856">
        <v>10040025</v>
      </c>
      <c r="B3856">
        <v>25933959</v>
      </c>
      <c r="C3856">
        <v>12</v>
      </c>
      <c r="D3856" s="1" t="s">
        <v>329</v>
      </c>
      <c r="E3856">
        <v>10</v>
      </c>
    </row>
    <row r="3857" spans="1:5" x14ac:dyDescent="0.2">
      <c r="A3857">
        <v>10040025</v>
      </c>
      <c r="B3857">
        <v>25933959</v>
      </c>
      <c r="C3857">
        <v>22</v>
      </c>
      <c r="D3857" s="1" t="s">
        <v>1070</v>
      </c>
      <c r="E3857">
        <v>10</v>
      </c>
    </row>
    <row r="3858" spans="1:5" x14ac:dyDescent="0.2">
      <c r="A3858">
        <v>10040025</v>
      </c>
      <c r="B3858">
        <v>25933959</v>
      </c>
      <c r="C3858">
        <v>4</v>
      </c>
      <c r="D3858" s="1" t="s">
        <v>864</v>
      </c>
      <c r="E3858">
        <v>10</v>
      </c>
    </row>
    <row r="3859" spans="1:5" x14ac:dyDescent="0.2">
      <c r="A3859">
        <v>10040025</v>
      </c>
      <c r="B3859">
        <v>25933959</v>
      </c>
      <c r="C3859">
        <v>2</v>
      </c>
      <c r="D3859" s="1" t="s">
        <v>1363</v>
      </c>
      <c r="E3859">
        <v>10</v>
      </c>
    </row>
    <row r="3860" spans="1:5" x14ac:dyDescent="0.2">
      <c r="A3860">
        <v>10040025</v>
      </c>
      <c r="B3860">
        <v>25933959</v>
      </c>
      <c r="C3860">
        <v>5</v>
      </c>
      <c r="D3860" s="1" t="s">
        <v>867</v>
      </c>
      <c r="E3860">
        <v>10</v>
      </c>
    </row>
    <row r="3861" spans="1:5" x14ac:dyDescent="0.2">
      <c r="A3861">
        <v>10040025</v>
      </c>
      <c r="B3861">
        <v>25933959</v>
      </c>
      <c r="C3861">
        <v>3</v>
      </c>
      <c r="D3861" s="1" t="s">
        <v>1552</v>
      </c>
      <c r="E3861">
        <v>10</v>
      </c>
    </row>
    <row r="3862" spans="1:5" x14ac:dyDescent="0.2">
      <c r="A3862">
        <v>10040025</v>
      </c>
      <c r="B3862">
        <v>25933959</v>
      </c>
      <c r="C3862">
        <v>7</v>
      </c>
      <c r="D3862" s="1" t="s">
        <v>620</v>
      </c>
      <c r="E3862">
        <v>10</v>
      </c>
    </row>
    <row r="3863" spans="1:5" x14ac:dyDescent="0.2">
      <c r="A3863">
        <v>10040025</v>
      </c>
      <c r="B3863">
        <v>25933959</v>
      </c>
      <c r="C3863">
        <v>20</v>
      </c>
      <c r="D3863" s="1" t="s">
        <v>1102</v>
      </c>
      <c r="E3863">
        <v>10</v>
      </c>
    </row>
    <row r="3864" spans="1:5" x14ac:dyDescent="0.2">
      <c r="A3864">
        <v>10040025</v>
      </c>
      <c r="B3864">
        <v>25933959</v>
      </c>
      <c r="C3864">
        <v>9</v>
      </c>
      <c r="D3864" s="1" t="s">
        <v>1123</v>
      </c>
      <c r="E3864">
        <v>10</v>
      </c>
    </row>
    <row r="3865" spans="1:5" x14ac:dyDescent="0.2">
      <c r="A3865">
        <v>10040025</v>
      </c>
      <c r="B3865">
        <v>25933959</v>
      </c>
      <c r="C3865">
        <v>14</v>
      </c>
      <c r="D3865" s="1" t="s">
        <v>335</v>
      </c>
      <c r="E3865">
        <v>10</v>
      </c>
    </row>
    <row r="3866" spans="1:5" x14ac:dyDescent="0.2">
      <c r="A3866">
        <v>10040025</v>
      </c>
      <c r="B3866">
        <v>25933959</v>
      </c>
      <c r="C3866">
        <v>18</v>
      </c>
      <c r="D3866" s="1" t="s">
        <v>378</v>
      </c>
      <c r="E3866">
        <v>10</v>
      </c>
    </row>
    <row r="3867" spans="1:5" x14ac:dyDescent="0.2">
      <c r="A3867">
        <v>10040025</v>
      </c>
      <c r="B3867">
        <v>25933959</v>
      </c>
      <c r="C3867">
        <v>23</v>
      </c>
      <c r="D3867" s="1" t="s">
        <v>1562</v>
      </c>
      <c r="E3867">
        <v>10</v>
      </c>
    </row>
    <row r="3868" spans="1:5" x14ac:dyDescent="0.2">
      <c r="A3868">
        <v>10040025</v>
      </c>
      <c r="B3868">
        <v>25933959</v>
      </c>
      <c r="C3868">
        <v>15</v>
      </c>
      <c r="D3868" s="1" t="s">
        <v>477</v>
      </c>
      <c r="E3868">
        <v>10</v>
      </c>
    </row>
    <row r="3869" spans="1:5" x14ac:dyDescent="0.2">
      <c r="A3869">
        <v>10040025</v>
      </c>
      <c r="B3869">
        <v>25933959</v>
      </c>
      <c r="C3869">
        <v>17</v>
      </c>
      <c r="D3869" s="1" t="s">
        <v>380</v>
      </c>
      <c r="E3869">
        <v>10</v>
      </c>
    </row>
    <row r="3870" spans="1:5" x14ac:dyDescent="0.2">
      <c r="A3870">
        <v>10040025</v>
      </c>
      <c r="B3870">
        <v>25933959</v>
      </c>
      <c r="C3870">
        <v>19</v>
      </c>
      <c r="D3870" s="1" t="s">
        <v>1222</v>
      </c>
      <c r="E3870">
        <v>10</v>
      </c>
    </row>
    <row r="3871" spans="1:5" x14ac:dyDescent="0.2">
      <c r="A3871">
        <v>10040025</v>
      </c>
      <c r="B3871">
        <v>27553957</v>
      </c>
      <c r="C3871">
        <v>7</v>
      </c>
      <c r="D3871" s="1" t="s">
        <v>253</v>
      </c>
      <c r="E3871">
        <v>9</v>
      </c>
    </row>
    <row r="3872" spans="1:5" x14ac:dyDescent="0.2">
      <c r="A3872">
        <v>10040025</v>
      </c>
      <c r="B3872">
        <v>27553957</v>
      </c>
      <c r="C3872">
        <v>8</v>
      </c>
      <c r="D3872" s="1" t="s">
        <v>416</v>
      </c>
      <c r="E3872">
        <v>9</v>
      </c>
    </row>
    <row r="3873" spans="1:5" x14ac:dyDescent="0.2">
      <c r="A3873">
        <v>10040025</v>
      </c>
      <c r="B3873">
        <v>27553957</v>
      </c>
      <c r="C3873">
        <v>14</v>
      </c>
      <c r="D3873" s="1" t="s">
        <v>406</v>
      </c>
      <c r="E3873">
        <v>9</v>
      </c>
    </row>
    <row r="3874" spans="1:5" x14ac:dyDescent="0.2">
      <c r="A3874">
        <v>10040025</v>
      </c>
      <c r="B3874">
        <v>27553957</v>
      </c>
      <c r="C3874">
        <v>17</v>
      </c>
      <c r="D3874" s="1" t="s">
        <v>418</v>
      </c>
      <c r="E3874">
        <v>9</v>
      </c>
    </row>
    <row r="3875" spans="1:5" x14ac:dyDescent="0.2">
      <c r="A3875">
        <v>10040025</v>
      </c>
      <c r="B3875">
        <v>27553957</v>
      </c>
      <c r="C3875">
        <v>22</v>
      </c>
      <c r="D3875" s="1" t="s">
        <v>1444</v>
      </c>
      <c r="E3875">
        <v>9</v>
      </c>
    </row>
    <row r="3876" spans="1:5" x14ac:dyDescent="0.2">
      <c r="A3876">
        <v>10040025</v>
      </c>
      <c r="B3876">
        <v>27553957</v>
      </c>
      <c r="C3876">
        <v>19</v>
      </c>
      <c r="D3876" s="1" t="s">
        <v>466</v>
      </c>
      <c r="E3876">
        <v>9</v>
      </c>
    </row>
    <row r="3877" spans="1:5" x14ac:dyDescent="0.2">
      <c r="A3877">
        <v>10040025</v>
      </c>
      <c r="B3877">
        <v>27553957</v>
      </c>
      <c r="C3877">
        <v>2</v>
      </c>
      <c r="D3877" s="1" t="s">
        <v>273</v>
      </c>
      <c r="E3877">
        <v>9</v>
      </c>
    </row>
    <row r="3878" spans="1:5" x14ac:dyDescent="0.2">
      <c r="A3878">
        <v>10040025</v>
      </c>
      <c r="B3878">
        <v>27553957</v>
      </c>
      <c r="C3878">
        <v>21</v>
      </c>
      <c r="D3878" s="1" t="s">
        <v>1569</v>
      </c>
      <c r="E3878">
        <v>9</v>
      </c>
    </row>
    <row r="3879" spans="1:5" x14ac:dyDescent="0.2">
      <c r="A3879">
        <v>10040025</v>
      </c>
      <c r="B3879">
        <v>27553957</v>
      </c>
      <c r="C3879">
        <v>6</v>
      </c>
      <c r="D3879" s="1" t="s">
        <v>711</v>
      </c>
      <c r="E3879">
        <v>9</v>
      </c>
    </row>
    <row r="3880" spans="1:5" x14ac:dyDescent="0.2">
      <c r="A3880">
        <v>10040025</v>
      </c>
      <c r="B3880">
        <v>27553957</v>
      </c>
      <c r="C3880">
        <v>10</v>
      </c>
      <c r="D3880" s="1" t="s">
        <v>259</v>
      </c>
      <c r="E3880">
        <v>9</v>
      </c>
    </row>
    <row r="3881" spans="1:5" x14ac:dyDescent="0.2">
      <c r="A3881">
        <v>10040025</v>
      </c>
      <c r="B3881">
        <v>27553957</v>
      </c>
      <c r="C3881">
        <v>16</v>
      </c>
      <c r="D3881" s="1" t="s">
        <v>1254</v>
      </c>
      <c r="E3881">
        <v>9</v>
      </c>
    </row>
    <row r="3882" spans="1:5" x14ac:dyDescent="0.2">
      <c r="A3882">
        <v>10040025</v>
      </c>
      <c r="B3882">
        <v>27553957</v>
      </c>
      <c r="C3882">
        <v>9</v>
      </c>
      <c r="D3882" s="1" t="s">
        <v>713</v>
      </c>
      <c r="E3882">
        <v>9</v>
      </c>
    </row>
    <row r="3883" spans="1:5" x14ac:dyDescent="0.2">
      <c r="A3883">
        <v>10040025</v>
      </c>
      <c r="B3883">
        <v>27553957</v>
      </c>
      <c r="C3883">
        <v>18</v>
      </c>
      <c r="D3883" s="1" t="s">
        <v>260</v>
      </c>
      <c r="E3883">
        <v>9</v>
      </c>
    </row>
    <row r="3884" spans="1:5" x14ac:dyDescent="0.2">
      <c r="A3884">
        <v>10040025</v>
      </c>
      <c r="B3884">
        <v>27553957</v>
      </c>
      <c r="C3884">
        <v>4</v>
      </c>
      <c r="D3884" s="1" t="s">
        <v>1570</v>
      </c>
      <c r="E3884">
        <v>9</v>
      </c>
    </row>
    <row r="3885" spans="1:5" x14ac:dyDescent="0.2">
      <c r="A3885">
        <v>10040025</v>
      </c>
      <c r="B3885">
        <v>27553957</v>
      </c>
      <c r="C3885">
        <v>1</v>
      </c>
      <c r="D3885" s="1" t="s">
        <v>320</v>
      </c>
      <c r="E3885">
        <v>9</v>
      </c>
    </row>
    <row r="3886" spans="1:5" x14ac:dyDescent="0.2">
      <c r="A3886">
        <v>10040025</v>
      </c>
      <c r="B3886">
        <v>27553957</v>
      </c>
      <c r="C3886">
        <v>13</v>
      </c>
      <c r="D3886" s="1" t="s">
        <v>272</v>
      </c>
      <c r="E3886">
        <v>9</v>
      </c>
    </row>
    <row r="3887" spans="1:5" x14ac:dyDescent="0.2">
      <c r="A3887">
        <v>10040025</v>
      </c>
      <c r="B3887">
        <v>27553957</v>
      </c>
      <c r="C3887">
        <v>24</v>
      </c>
      <c r="D3887" s="1" t="s">
        <v>1571</v>
      </c>
      <c r="E3887">
        <v>9</v>
      </c>
    </row>
    <row r="3888" spans="1:5" x14ac:dyDescent="0.2">
      <c r="A3888">
        <v>10040025</v>
      </c>
      <c r="B3888">
        <v>27553957</v>
      </c>
      <c r="C3888">
        <v>15</v>
      </c>
      <c r="D3888" s="1" t="s">
        <v>1572</v>
      </c>
      <c r="E3888">
        <v>9</v>
      </c>
    </row>
    <row r="3889" spans="1:5" x14ac:dyDescent="0.2">
      <c r="A3889">
        <v>10040025</v>
      </c>
      <c r="B3889">
        <v>27553957</v>
      </c>
      <c r="C3889">
        <v>23</v>
      </c>
      <c r="D3889" s="1" t="s">
        <v>860</v>
      </c>
      <c r="E3889">
        <v>9</v>
      </c>
    </row>
    <row r="3890" spans="1:5" x14ac:dyDescent="0.2">
      <c r="A3890">
        <v>10040025</v>
      </c>
      <c r="B3890">
        <v>27553957</v>
      </c>
      <c r="C3890">
        <v>5</v>
      </c>
      <c r="D3890" s="1" t="s">
        <v>649</v>
      </c>
      <c r="E3890">
        <v>9</v>
      </c>
    </row>
    <row r="3891" spans="1:5" x14ac:dyDescent="0.2">
      <c r="A3891">
        <v>10040025</v>
      </c>
      <c r="B3891">
        <v>27553957</v>
      </c>
      <c r="C3891">
        <v>12</v>
      </c>
      <c r="D3891" s="1" t="s">
        <v>261</v>
      </c>
      <c r="E3891">
        <v>9</v>
      </c>
    </row>
    <row r="3892" spans="1:5" x14ac:dyDescent="0.2">
      <c r="A3892">
        <v>10040025</v>
      </c>
      <c r="B3892">
        <v>27553957</v>
      </c>
      <c r="C3892">
        <v>3</v>
      </c>
      <c r="D3892" s="1" t="s">
        <v>1573</v>
      </c>
      <c r="E3892">
        <v>9</v>
      </c>
    </row>
    <row r="3893" spans="1:5" x14ac:dyDescent="0.2">
      <c r="A3893">
        <v>10040025</v>
      </c>
      <c r="B3893">
        <v>27553957</v>
      </c>
      <c r="C3893">
        <v>11</v>
      </c>
      <c r="D3893" s="1" t="s">
        <v>295</v>
      </c>
      <c r="E3893">
        <v>9</v>
      </c>
    </row>
    <row r="3894" spans="1:5" x14ac:dyDescent="0.2">
      <c r="A3894">
        <v>10040025</v>
      </c>
      <c r="B3894">
        <v>27553957</v>
      </c>
      <c r="C3894">
        <v>20</v>
      </c>
      <c r="D3894" s="1" t="s">
        <v>359</v>
      </c>
      <c r="E3894">
        <v>9</v>
      </c>
    </row>
    <row r="3895" spans="1:5" x14ac:dyDescent="0.2">
      <c r="A3895">
        <v>10040025</v>
      </c>
      <c r="B3895">
        <v>22251969</v>
      </c>
      <c r="C3895">
        <v>8</v>
      </c>
      <c r="D3895" s="1" t="s">
        <v>1562</v>
      </c>
      <c r="E3895">
        <v>10</v>
      </c>
    </row>
    <row r="3896" spans="1:5" x14ac:dyDescent="0.2">
      <c r="A3896">
        <v>10040025</v>
      </c>
      <c r="B3896">
        <v>22251969</v>
      </c>
      <c r="C3896">
        <v>26</v>
      </c>
      <c r="D3896" s="1" t="s">
        <v>760</v>
      </c>
      <c r="E3896">
        <v>10</v>
      </c>
    </row>
    <row r="3897" spans="1:5" x14ac:dyDescent="0.2">
      <c r="A3897">
        <v>10040025</v>
      </c>
      <c r="B3897">
        <v>22251969</v>
      </c>
      <c r="C3897">
        <v>12</v>
      </c>
      <c r="D3897" s="1" t="s">
        <v>1103</v>
      </c>
      <c r="E3897">
        <v>10</v>
      </c>
    </row>
    <row r="3898" spans="1:5" x14ac:dyDescent="0.2">
      <c r="A3898">
        <v>10040025</v>
      </c>
      <c r="B3898">
        <v>22251969</v>
      </c>
      <c r="C3898">
        <v>25</v>
      </c>
      <c r="D3898" s="1" t="s">
        <v>1153</v>
      </c>
      <c r="E3898">
        <v>10</v>
      </c>
    </row>
    <row r="3899" spans="1:5" x14ac:dyDescent="0.2">
      <c r="A3899">
        <v>10040025</v>
      </c>
      <c r="B3899">
        <v>22251969</v>
      </c>
      <c r="C3899">
        <v>20</v>
      </c>
      <c r="D3899" s="1" t="s">
        <v>329</v>
      </c>
      <c r="E3899">
        <v>10</v>
      </c>
    </row>
    <row r="3900" spans="1:5" x14ac:dyDescent="0.2">
      <c r="A3900">
        <v>10040025</v>
      </c>
      <c r="B3900">
        <v>22251969</v>
      </c>
      <c r="C3900">
        <v>1</v>
      </c>
      <c r="D3900" s="1" t="s">
        <v>742</v>
      </c>
      <c r="E3900">
        <v>10</v>
      </c>
    </row>
    <row r="3901" spans="1:5" x14ac:dyDescent="0.2">
      <c r="A3901">
        <v>10040025</v>
      </c>
      <c r="B3901">
        <v>22251969</v>
      </c>
      <c r="C3901">
        <v>19</v>
      </c>
      <c r="D3901" s="1" t="s">
        <v>312</v>
      </c>
      <c r="E3901">
        <v>10</v>
      </c>
    </row>
    <row r="3902" spans="1:5" x14ac:dyDescent="0.2">
      <c r="A3902">
        <v>10040025</v>
      </c>
      <c r="B3902">
        <v>22251969</v>
      </c>
      <c r="C3902">
        <v>10</v>
      </c>
      <c r="D3902" s="1" t="s">
        <v>1093</v>
      </c>
      <c r="E3902">
        <v>10</v>
      </c>
    </row>
    <row r="3903" spans="1:5" x14ac:dyDescent="0.2">
      <c r="A3903">
        <v>10040025</v>
      </c>
      <c r="B3903">
        <v>22251969</v>
      </c>
      <c r="C3903">
        <v>17</v>
      </c>
      <c r="D3903" s="1" t="s">
        <v>477</v>
      </c>
      <c r="E3903">
        <v>10</v>
      </c>
    </row>
    <row r="3904" spans="1:5" x14ac:dyDescent="0.2">
      <c r="A3904">
        <v>10040025</v>
      </c>
      <c r="B3904">
        <v>22251969</v>
      </c>
      <c r="C3904">
        <v>29</v>
      </c>
      <c r="D3904" s="1" t="s">
        <v>478</v>
      </c>
      <c r="E3904">
        <v>10</v>
      </c>
    </row>
    <row r="3905" spans="1:5" x14ac:dyDescent="0.2">
      <c r="A3905">
        <v>10040025</v>
      </c>
      <c r="B3905">
        <v>22251969</v>
      </c>
      <c r="C3905">
        <v>6</v>
      </c>
      <c r="D3905" s="1" t="s">
        <v>421</v>
      </c>
      <c r="E3905">
        <v>10</v>
      </c>
    </row>
    <row r="3906" spans="1:5" x14ac:dyDescent="0.2">
      <c r="A3906">
        <v>10040025</v>
      </c>
      <c r="B3906">
        <v>22251969</v>
      </c>
      <c r="C3906">
        <v>9</v>
      </c>
      <c r="D3906" s="1" t="s">
        <v>1070</v>
      </c>
      <c r="E3906">
        <v>10</v>
      </c>
    </row>
    <row r="3907" spans="1:5" x14ac:dyDescent="0.2">
      <c r="A3907">
        <v>10040025</v>
      </c>
      <c r="B3907">
        <v>22251969</v>
      </c>
      <c r="C3907">
        <v>22</v>
      </c>
      <c r="D3907" s="1" t="s">
        <v>762</v>
      </c>
      <c r="E3907">
        <v>10</v>
      </c>
    </row>
    <row r="3908" spans="1:5" x14ac:dyDescent="0.2">
      <c r="A3908">
        <v>10040025</v>
      </c>
      <c r="B3908">
        <v>22251969</v>
      </c>
      <c r="C3908">
        <v>4</v>
      </c>
      <c r="D3908" s="1" t="s">
        <v>1083</v>
      </c>
      <c r="E3908">
        <v>10</v>
      </c>
    </row>
    <row r="3909" spans="1:5" x14ac:dyDescent="0.2">
      <c r="A3909">
        <v>10040025</v>
      </c>
      <c r="B3909">
        <v>22251969</v>
      </c>
      <c r="C3909">
        <v>11</v>
      </c>
      <c r="D3909" s="1" t="s">
        <v>1574</v>
      </c>
      <c r="E3909">
        <v>10</v>
      </c>
    </row>
    <row r="3910" spans="1:5" x14ac:dyDescent="0.2">
      <c r="A3910">
        <v>10040025</v>
      </c>
      <c r="B3910">
        <v>22251969</v>
      </c>
      <c r="C3910">
        <v>21</v>
      </c>
      <c r="D3910" s="1" t="s">
        <v>560</v>
      </c>
      <c r="E3910">
        <v>10</v>
      </c>
    </row>
    <row r="3911" spans="1:5" x14ac:dyDescent="0.2">
      <c r="A3911">
        <v>10040025</v>
      </c>
      <c r="B3911">
        <v>22251969</v>
      </c>
      <c r="C3911">
        <v>7</v>
      </c>
      <c r="D3911" s="1" t="s">
        <v>429</v>
      </c>
      <c r="E3911">
        <v>10</v>
      </c>
    </row>
    <row r="3912" spans="1:5" x14ac:dyDescent="0.2">
      <c r="A3912">
        <v>10040025</v>
      </c>
      <c r="B3912">
        <v>22251969</v>
      </c>
      <c r="C3912">
        <v>3</v>
      </c>
      <c r="D3912" s="1" t="s">
        <v>864</v>
      </c>
      <c r="E3912">
        <v>10</v>
      </c>
    </row>
    <row r="3913" spans="1:5" x14ac:dyDescent="0.2">
      <c r="A3913">
        <v>10040025</v>
      </c>
      <c r="B3913">
        <v>22251969</v>
      </c>
      <c r="C3913">
        <v>27</v>
      </c>
      <c r="D3913" s="1" t="s">
        <v>1102</v>
      </c>
      <c r="E3913">
        <v>10</v>
      </c>
    </row>
    <row r="3914" spans="1:5" x14ac:dyDescent="0.2">
      <c r="A3914">
        <v>10040025</v>
      </c>
      <c r="B3914">
        <v>22251969</v>
      </c>
      <c r="C3914">
        <v>23</v>
      </c>
      <c r="D3914" s="1" t="s">
        <v>378</v>
      </c>
      <c r="E3914">
        <v>10</v>
      </c>
    </row>
    <row r="3915" spans="1:5" x14ac:dyDescent="0.2">
      <c r="A3915">
        <v>10040025</v>
      </c>
      <c r="B3915">
        <v>22251969</v>
      </c>
      <c r="C3915">
        <v>28</v>
      </c>
      <c r="D3915" s="1" t="s">
        <v>1383</v>
      </c>
      <c r="E3915">
        <v>10</v>
      </c>
    </row>
    <row r="3916" spans="1:5" x14ac:dyDescent="0.2">
      <c r="A3916">
        <v>10040025</v>
      </c>
      <c r="B3916">
        <v>22251969</v>
      </c>
      <c r="C3916">
        <v>16</v>
      </c>
      <c r="D3916" s="1" t="s">
        <v>335</v>
      </c>
      <c r="E3916">
        <v>10</v>
      </c>
    </row>
    <row r="3917" spans="1:5" x14ac:dyDescent="0.2">
      <c r="A3917">
        <v>10040025</v>
      </c>
      <c r="B3917">
        <v>22251969</v>
      </c>
      <c r="C3917">
        <v>5</v>
      </c>
      <c r="D3917" s="1" t="s">
        <v>324</v>
      </c>
      <c r="E3917">
        <v>10</v>
      </c>
    </row>
    <row r="3918" spans="1:5" x14ac:dyDescent="0.2">
      <c r="A3918">
        <v>10040025</v>
      </c>
      <c r="B3918">
        <v>22251969</v>
      </c>
      <c r="C3918">
        <v>18</v>
      </c>
      <c r="D3918" s="1" t="s">
        <v>446</v>
      </c>
      <c r="E3918">
        <v>10</v>
      </c>
    </row>
    <row r="3919" spans="1:5" x14ac:dyDescent="0.2">
      <c r="A3919">
        <v>10040025</v>
      </c>
      <c r="B3919">
        <v>22251969</v>
      </c>
      <c r="C3919">
        <v>24</v>
      </c>
      <c r="D3919" s="1" t="s">
        <v>430</v>
      </c>
      <c r="E3919">
        <v>10</v>
      </c>
    </row>
    <row r="3920" spans="1:5" x14ac:dyDescent="0.2">
      <c r="A3920">
        <v>10040025</v>
      </c>
      <c r="B3920">
        <v>22251969</v>
      </c>
      <c r="C3920">
        <v>14</v>
      </c>
      <c r="D3920" s="1" t="s">
        <v>1224</v>
      </c>
      <c r="E3920">
        <v>10</v>
      </c>
    </row>
    <row r="3921" spans="1:5" x14ac:dyDescent="0.2">
      <c r="A3921">
        <v>10040025</v>
      </c>
      <c r="B3921">
        <v>22251969</v>
      </c>
      <c r="C3921">
        <v>13</v>
      </c>
      <c r="D3921" s="1" t="s">
        <v>620</v>
      </c>
      <c r="E3921">
        <v>10</v>
      </c>
    </row>
    <row r="3922" spans="1:5" x14ac:dyDescent="0.2">
      <c r="A3922">
        <v>10040025</v>
      </c>
      <c r="B3922">
        <v>22251969</v>
      </c>
      <c r="C3922">
        <v>2</v>
      </c>
      <c r="D3922" s="1" t="s">
        <v>867</v>
      </c>
      <c r="E3922">
        <v>10</v>
      </c>
    </row>
    <row r="3923" spans="1:5" x14ac:dyDescent="0.2">
      <c r="A3923">
        <v>10040025</v>
      </c>
      <c r="B3923">
        <v>22251969</v>
      </c>
      <c r="C3923">
        <v>15</v>
      </c>
      <c r="D3923" s="1" t="s">
        <v>889</v>
      </c>
      <c r="E3923">
        <v>10</v>
      </c>
    </row>
    <row r="3924" spans="1:5" x14ac:dyDescent="0.2">
      <c r="A3924">
        <v>10040025</v>
      </c>
      <c r="B3924">
        <v>25384176</v>
      </c>
      <c r="C3924">
        <v>15</v>
      </c>
      <c r="D3924" s="1" t="s">
        <v>418</v>
      </c>
      <c r="E3924">
        <v>9</v>
      </c>
    </row>
    <row r="3925" spans="1:5" x14ac:dyDescent="0.2">
      <c r="A3925">
        <v>10040025</v>
      </c>
      <c r="B3925">
        <v>25384176</v>
      </c>
      <c r="C3925">
        <v>2</v>
      </c>
      <c r="D3925" s="1" t="s">
        <v>1570</v>
      </c>
      <c r="E3925">
        <v>9</v>
      </c>
    </row>
    <row r="3926" spans="1:5" x14ac:dyDescent="0.2">
      <c r="A3926">
        <v>10040025</v>
      </c>
      <c r="B3926">
        <v>25384176</v>
      </c>
      <c r="C3926">
        <v>3</v>
      </c>
      <c r="D3926" s="1" t="s">
        <v>320</v>
      </c>
      <c r="E3926">
        <v>9</v>
      </c>
    </row>
    <row r="3927" spans="1:5" x14ac:dyDescent="0.2">
      <c r="A3927">
        <v>10040025</v>
      </c>
      <c r="B3927">
        <v>25384176</v>
      </c>
      <c r="C3927">
        <v>9</v>
      </c>
      <c r="D3927" s="1" t="s">
        <v>259</v>
      </c>
      <c r="E3927">
        <v>9</v>
      </c>
    </row>
    <row r="3928" spans="1:5" x14ac:dyDescent="0.2">
      <c r="A3928">
        <v>10040025</v>
      </c>
      <c r="B3928">
        <v>25384176</v>
      </c>
      <c r="C3928">
        <v>5</v>
      </c>
      <c r="D3928" s="1" t="s">
        <v>713</v>
      </c>
      <c r="E3928">
        <v>9</v>
      </c>
    </row>
    <row r="3929" spans="1:5" x14ac:dyDescent="0.2">
      <c r="A3929">
        <v>10040025</v>
      </c>
      <c r="B3929">
        <v>25384176</v>
      </c>
      <c r="C3929">
        <v>17</v>
      </c>
      <c r="D3929" s="1" t="s">
        <v>260</v>
      </c>
      <c r="E3929">
        <v>9</v>
      </c>
    </row>
    <row r="3930" spans="1:5" x14ac:dyDescent="0.2">
      <c r="A3930">
        <v>10040025</v>
      </c>
      <c r="B3930">
        <v>25384176</v>
      </c>
      <c r="C3930">
        <v>7</v>
      </c>
      <c r="D3930" s="1" t="s">
        <v>253</v>
      </c>
      <c r="E3930">
        <v>9</v>
      </c>
    </row>
    <row r="3931" spans="1:5" x14ac:dyDescent="0.2">
      <c r="A3931">
        <v>10040025</v>
      </c>
      <c r="B3931">
        <v>25384176</v>
      </c>
      <c r="C3931">
        <v>16</v>
      </c>
      <c r="D3931" s="1" t="s">
        <v>711</v>
      </c>
      <c r="E3931">
        <v>9</v>
      </c>
    </row>
    <row r="3932" spans="1:5" x14ac:dyDescent="0.2">
      <c r="A3932">
        <v>10040025</v>
      </c>
      <c r="B3932">
        <v>25384176</v>
      </c>
      <c r="C3932">
        <v>13</v>
      </c>
      <c r="D3932" s="1" t="s">
        <v>1575</v>
      </c>
      <c r="E3932">
        <v>9</v>
      </c>
    </row>
    <row r="3933" spans="1:5" x14ac:dyDescent="0.2">
      <c r="A3933">
        <v>10040025</v>
      </c>
      <c r="B3933">
        <v>25384176</v>
      </c>
      <c r="C3933">
        <v>10</v>
      </c>
      <c r="D3933" s="1" t="s">
        <v>295</v>
      </c>
      <c r="E3933">
        <v>9</v>
      </c>
    </row>
    <row r="3934" spans="1:5" x14ac:dyDescent="0.2">
      <c r="A3934">
        <v>10040025</v>
      </c>
      <c r="B3934">
        <v>25384176</v>
      </c>
      <c r="C3934">
        <v>6</v>
      </c>
      <c r="D3934" s="1" t="s">
        <v>1330</v>
      </c>
      <c r="E3934">
        <v>9</v>
      </c>
    </row>
    <row r="3935" spans="1:5" x14ac:dyDescent="0.2">
      <c r="A3935">
        <v>10040025</v>
      </c>
      <c r="B3935">
        <v>25384176</v>
      </c>
      <c r="C3935">
        <v>8</v>
      </c>
      <c r="D3935" s="1" t="s">
        <v>416</v>
      </c>
      <c r="E3935">
        <v>9</v>
      </c>
    </row>
    <row r="3936" spans="1:5" x14ac:dyDescent="0.2">
      <c r="A3936">
        <v>10040025</v>
      </c>
      <c r="B3936">
        <v>25384176</v>
      </c>
      <c r="C3936">
        <v>12</v>
      </c>
      <c r="D3936" s="1" t="s">
        <v>1044</v>
      </c>
      <c r="E3936">
        <v>9</v>
      </c>
    </row>
    <row r="3937" spans="1:5" x14ac:dyDescent="0.2">
      <c r="A3937">
        <v>10040025</v>
      </c>
      <c r="B3937">
        <v>25384176</v>
      </c>
      <c r="C3937">
        <v>1</v>
      </c>
      <c r="D3937" s="1" t="s">
        <v>693</v>
      </c>
      <c r="E3937">
        <v>9</v>
      </c>
    </row>
    <row r="3938" spans="1:5" x14ac:dyDescent="0.2">
      <c r="A3938">
        <v>10040025</v>
      </c>
      <c r="B3938">
        <v>25384176</v>
      </c>
      <c r="C3938">
        <v>18</v>
      </c>
      <c r="D3938" s="1" t="s">
        <v>359</v>
      </c>
      <c r="E3938">
        <v>9</v>
      </c>
    </row>
    <row r="3939" spans="1:5" x14ac:dyDescent="0.2">
      <c r="A3939">
        <v>10040025</v>
      </c>
      <c r="B3939">
        <v>25384176</v>
      </c>
      <c r="C3939">
        <v>14</v>
      </c>
      <c r="D3939" s="1" t="s">
        <v>466</v>
      </c>
      <c r="E3939">
        <v>9</v>
      </c>
    </row>
    <row r="3940" spans="1:5" x14ac:dyDescent="0.2">
      <c r="A3940">
        <v>10040025</v>
      </c>
      <c r="B3940">
        <v>25384176</v>
      </c>
      <c r="C3940">
        <v>4</v>
      </c>
      <c r="D3940" s="1" t="s">
        <v>649</v>
      </c>
      <c r="E3940">
        <v>9</v>
      </c>
    </row>
    <row r="3941" spans="1:5" x14ac:dyDescent="0.2">
      <c r="A3941">
        <v>10040025</v>
      </c>
      <c r="B3941">
        <v>25384176</v>
      </c>
      <c r="C3941">
        <v>11</v>
      </c>
      <c r="D3941" s="1" t="s">
        <v>261</v>
      </c>
      <c r="E3941">
        <v>9</v>
      </c>
    </row>
    <row r="3942" spans="1:5" x14ac:dyDescent="0.2">
      <c r="A3942">
        <v>10016742</v>
      </c>
      <c r="B3942">
        <v>28506150</v>
      </c>
      <c r="C3942">
        <v>7</v>
      </c>
      <c r="D3942" s="1" t="s">
        <v>325</v>
      </c>
      <c r="E3942">
        <v>10</v>
      </c>
    </row>
    <row r="3943" spans="1:5" x14ac:dyDescent="0.2">
      <c r="A3943">
        <v>10016742</v>
      </c>
      <c r="B3943">
        <v>28506150</v>
      </c>
      <c r="C3943">
        <v>3</v>
      </c>
      <c r="D3943" s="1" t="s">
        <v>1576</v>
      </c>
      <c r="E3943">
        <v>10</v>
      </c>
    </row>
    <row r="3944" spans="1:5" x14ac:dyDescent="0.2">
      <c r="A3944">
        <v>10016742</v>
      </c>
      <c r="B3944">
        <v>28506150</v>
      </c>
      <c r="C3944">
        <v>17</v>
      </c>
      <c r="D3944" s="1" t="s">
        <v>1107</v>
      </c>
      <c r="E3944">
        <v>10</v>
      </c>
    </row>
    <row r="3945" spans="1:5" x14ac:dyDescent="0.2">
      <c r="A3945">
        <v>10016742</v>
      </c>
      <c r="B3945">
        <v>28506150</v>
      </c>
      <c r="C3945">
        <v>16</v>
      </c>
      <c r="D3945" s="1" t="s">
        <v>379</v>
      </c>
      <c r="E3945">
        <v>10</v>
      </c>
    </row>
    <row r="3946" spans="1:5" x14ac:dyDescent="0.2">
      <c r="A3946">
        <v>10016742</v>
      </c>
      <c r="B3946">
        <v>28506150</v>
      </c>
      <c r="C3946">
        <v>8</v>
      </c>
      <c r="D3946" s="1" t="s">
        <v>1082</v>
      </c>
      <c r="E3946">
        <v>10</v>
      </c>
    </row>
    <row r="3947" spans="1:5" x14ac:dyDescent="0.2">
      <c r="A3947">
        <v>10016742</v>
      </c>
      <c r="B3947">
        <v>28506150</v>
      </c>
      <c r="C3947">
        <v>2</v>
      </c>
      <c r="D3947" s="1" t="s">
        <v>520</v>
      </c>
      <c r="E3947">
        <v>10</v>
      </c>
    </row>
    <row r="3948" spans="1:5" x14ac:dyDescent="0.2">
      <c r="A3948">
        <v>10016742</v>
      </c>
      <c r="B3948">
        <v>28506150</v>
      </c>
      <c r="C3948">
        <v>13</v>
      </c>
      <c r="D3948" s="1" t="s">
        <v>905</v>
      </c>
      <c r="E3948">
        <v>10</v>
      </c>
    </row>
    <row r="3949" spans="1:5" x14ac:dyDescent="0.2">
      <c r="A3949">
        <v>10016742</v>
      </c>
      <c r="B3949">
        <v>28506150</v>
      </c>
      <c r="C3949">
        <v>14</v>
      </c>
      <c r="D3949" s="1" t="s">
        <v>337</v>
      </c>
      <c r="E3949">
        <v>10</v>
      </c>
    </row>
    <row r="3950" spans="1:5" x14ac:dyDescent="0.2">
      <c r="A3950">
        <v>10016742</v>
      </c>
      <c r="B3950">
        <v>28506150</v>
      </c>
      <c r="C3950">
        <v>6</v>
      </c>
      <c r="D3950" s="1" t="s">
        <v>1577</v>
      </c>
      <c r="E3950">
        <v>10</v>
      </c>
    </row>
    <row r="3951" spans="1:5" x14ac:dyDescent="0.2">
      <c r="A3951">
        <v>10016742</v>
      </c>
      <c r="B3951">
        <v>28506150</v>
      </c>
      <c r="C3951">
        <v>5</v>
      </c>
      <c r="D3951" s="1" t="s">
        <v>624</v>
      </c>
      <c r="E3951">
        <v>10</v>
      </c>
    </row>
    <row r="3952" spans="1:5" x14ac:dyDescent="0.2">
      <c r="A3952">
        <v>10016742</v>
      </c>
      <c r="B3952">
        <v>28506150</v>
      </c>
      <c r="C3952">
        <v>10</v>
      </c>
      <c r="D3952" s="1" t="s">
        <v>328</v>
      </c>
      <c r="E3952">
        <v>10</v>
      </c>
    </row>
    <row r="3953" spans="1:5" x14ac:dyDescent="0.2">
      <c r="A3953">
        <v>10016742</v>
      </c>
      <c r="B3953">
        <v>28506150</v>
      </c>
      <c r="C3953">
        <v>15</v>
      </c>
      <c r="D3953" s="1" t="s">
        <v>620</v>
      </c>
      <c r="E3953">
        <v>10</v>
      </c>
    </row>
    <row r="3954" spans="1:5" x14ac:dyDescent="0.2">
      <c r="A3954">
        <v>10016742</v>
      </c>
      <c r="B3954">
        <v>28506150</v>
      </c>
      <c r="C3954">
        <v>18</v>
      </c>
      <c r="D3954" s="1" t="s">
        <v>335</v>
      </c>
      <c r="E3954">
        <v>10</v>
      </c>
    </row>
    <row r="3955" spans="1:5" x14ac:dyDescent="0.2">
      <c r="A3955">
        <v>10016742</v>
      </c>
      <c r="B3955">
        <v>28506150</v>
      </c>
      <c r="C3955">
        <v>9</v>
      </c>
      <c r="D3955" s="1" t="s">
        <v>617</v>
      </c>
      <c r="E3955">
        <v>10</v>
      </c>
    </row>
    <row r="3956" spans="1:5" x14ac:dyDescent="0.2">
      <c r="A3956">
        <v>10016742</v>
      </c>
      <c r="B3956">
        <v>28506150</v>
      </c>
      <c r="C3956">
        <v>1</v>
      </c>
      <c r="D3956" s="1" t="s">
        <v>1578</v>
      </c>
      <c r="E3956">
        <v>10</v>
      </c>
    </row>
    <row r="3957" spans="1:5" x14ac:dyDescent="0.2">
      <c r="A3957">
        <v>10016742</v>
      </c>
      <c r="B3957">
        <v>28506150</v>
      </c>
      <c r="C3957">
        <v>11</v>
      </c>
      <c r="D3957" s="1" t="s">
        <v>1579</v>
      </c>
      <c r="E3957">
        <v>10</v>
      </c>
    </row>
    <row r="3958" spans="1:5" x14ac:dyDescent="0.2">
      <c r="A3958">
        <v>10016742</v>
      </c>
      <c r="B3958">
        <v>28506150</v>
      </c>
      <c r="C3958">
        <v>12</v>
      </c>
      <c r="D3958" s="1" t="s">
        <v>1081</v>
      </c>
      <c r="E3958">
        <v>10</v>
      </c>
    </row>
    <row r="3959" spans="1:5" x14ac:dyDescent="0.2">
      <c r="A3959">
        <v>10016742</v>
      </c>
      <c r="B3959">
        <v>28506150</v>
      </c>
      <c r="C3959">
        <v>4</v>
      </c>
      <c r="D3959" s="1" t="s">
        <v>863</v>
      </c>
      <c r="E3959">
        <v>10</v>
      </c>
    </row>
    <row r="3960" spans="1:5" x14ac:dyDescent="0.2">
      <c r="A3960">
        <v>10016742</v>
      </c>
      <c r="B3960">
        <v>29281842</v>
      </c>
      <c r="C3960">
        <v>8</v>
      </c>
      <c r="D3960" s="1" t="s">
        <v>1580</v>
      </c>
      <c r="E3960">
        <v>10</v>
      </c>
    </row>
    <row r="3961" spans="1:5" x14ac:dyDescent="0.2">
      <c r="A3961">
        <v>10016742</v>
      </c>
      <c r="B3961">
        <v>29281842</v>
      </c>
      <c r="C3961">
        <v>1</v>
      </c>
      <c r="D3961" s="1" t="s">
        <v>624</v>
      </c>
      <c r="E3961">
        <v>10</v>
      </c>
    </row>
    <row r="3962" spans="1:5" x14ac:dyDescent="0.2">
      <c r="A3962">
        <v>10016742</v>
      </c>
      <c r="B3962">
        <v>29281842</v>
      </c>
      <c r="C3962">
        <v>5</v>
      </c>
      <c r="D3962" s="1" t="s">
        <v>423</v>
      </c>
      <c r="E3962">
        <v>10</v>
      </c>
    </row>
    <row r="3963" spans="1:5" x14ac:dyDescent="0.2">
      <c r="A3963">
        <v>10016742</v>
      </c>
      <c r="B3963">
        <v>29281842</v>
      </c>
      <c r="C3963">
        <v>4</v>
      </c>
      <c r="D3963" s="1" t="s">
        <v>1576</v>
      </c>
      <c r="E3963">
        <v>10</v>
      </c>
    </row>
    <row r="3964" spans="1:5" x14ac:dyDescent="0.2">
      <c r="A3964">
        <v>10016742</v>
      </c>
      <c r="B3964">
        <v>29281842</v>
      </c>
      <c r="C3964">
        <v>12</v>
      </c>
      <c r="D3964" s="1" t="s">
        <v>871</v>
      </c>
      <c r="E3964">
        <v>10</v>
      </c>
    </row>
    <row r="3965" spans="1:5" x14ac:dyDescent="0.2">
      <c r="A3965">
        <v>10016742</v>
      </c>
      <c r="B3965">
        <v>29281842</v>
      </c>
      <c r="C3965">
        <v>7</v>
      </c>
      <c r="D3965" s="1" t="s">
        <v>1190</v>
      </c>
      <c r="E3965">
        <v>10</v>
      </c>
    </row>
    <row r="3966" spans="1:5" x14ac:dyDescent="0.2">
      <c r="A3966">
        <v>10016742</v>
      </c>
      <c r="B3966">
        <v>29281842</v>
      </c>
      <c r="C3966">
        <v>19</v>
      </c>
      <c r="D3966" s="1" t="s">
        <v>1137</v>
      </c>
      <c r="E3966">
        <v>10</v>
      </c>
    </row>
    <row r="3967" spans="1:5" x14ac:dyDescent="0.2">
      <c r="A3967">
        <v>10016742</v>
      </c>
      <c r="B3967">
        <v>29281842</v>
      </c>
      <c r="C3967">
        <v>6</v>
      </c>
      <c r="D3967" s="1" t="s">
        <v>1581</v>
      </c>
      <c r="E3967">
        <v>10</v>
      </c>
    </row>
    <row r="3968" spans="1:5" x14ac:dyDescent="0.2">
      <c r="A3968">
        <v>10016742</v>
      </c>
      <c r="B3968">
        <v>29281842</v>
      </c>
      <c r="C3968">
        <v>17</v>
      </c>
      <c r="D3968" s="1" t="s">
        <v>1582</v>
      </c>
      <c r="E3968">
        <v>10</v>
      </c>
    </row>
    <row r="3969" spans="1:5" x14ac:dyDescent="0.2">
      <c r="A3969">
        <v>10016742</v>
      </c>
      <c r="B3969">
        <v>29281842</v>
      </c>
      <c r="C3969">
        <v>18</v>
      </c>
      <c r="D3969" s="1" t="s">
        <v>452</v>
      </c>
      <c r="E3969">
        <v>10</v>
      </c>
    </row>
    <row r="3970" spans="1:5" x14ac:dyDescent="0.2">
      <c r="A3970">
        <v>10016742</v>
      </c>
      <c r="B3970">
        <v>29281842</v>
      </c>
      <c r="C3970">
        <v>2</v>
      </c>
      <c r="D3970" s="1" t="s">
        <v>520</v>
      </c>
      <c r="E3970">
        <v>10</v>
      </c>
    </row>
    <row r="3971" spans="1:5" x14ac:dyDescent="0.2">
      <c r="A3971">
        <v>10016742</v>
      </c>
      <c r="B3971">
        <v>29281842</v>
      </c>
      <c r="C3971">
        <v>9</v>
      </c>
      <c r="D3971" s="1" t="s">
        <v>1583</v>
      </c>
      <c r="E3971">
        <v>10</v>
      </c>
    </row>
    <row r="3972" spans="1:5" x14ac:dyDescent="0.2">
      <c r="A3972">
        <v>10016742</v>
      </c>
      <c r="B3972">
        <v>29281842</v>
      </c>
      <c r="C3972">
        <v>15</v>
      </c>
      <c r="D3972" s="1" t="s">
        <v>1584</v>
      </c>
      <c r="E3972">
        <v>10</v>
      </c>
    </row>
    <row r="3973" spans="1:5" x14ac:dyDescent="0.2">
      <c r="A3973">
        <v>10016742</v>
      </c>
      <c r="B3973">
        <v>29281842</v>
      </c>
      <c r="C3973">
        <v>24</v>
      </c>
      <c r="D3973" s="1" t="s">
        <v>1274</v>
      </c>
      <c r="E3973">
        <v>10</v>
      </c>
    </row>
    <row r="3974" spans="1:5" x14ac:dyDescent="0.2">
      <c r="A3974">
        <v>10016742</v>
      </c>
      <c r="B3974">
        <v>29281842</v>
      </c>
      <c r="C3974">
        <v>3</v>
      </c>
      <c r="D3974" s="1" t="s">
        <v>1191</v>
      </c>
      <c r="E3974">
        <v>10</v>
      </c>
    </row>
    <row r="3975" spans="1:5" x14ac:dyDescent="0.2">
      <c r="A3975">
        <v>10016742</v>
      </c>
      <c r="B3975">
        <v>29281842</v>
      </c>
      <c r="C3975">
        <v>10</v>
      </c>
      <c r="D3975" s="1" t="s">
        <v>863</v>
      </c>
      <c r="E3975">
        <v>10</v>
      </c>
    </row>
    <row r="3976" spans="1:5" x14ac:dyDescent="0.2">
      <c r="A3976">
        <v>10016742</v>
      </c>
      <c r="B3976">
        <v>29281842</v>
      </c>
      <c r="C3976">
        <v>16</v>
      </c>
      <c r="D3976" s="1" t="s">
        <v>328</v>
      </c>
      <c r="E3976">
        <v>10</v>
      </c>
    </row>
    <row r="3977" spans="1:5" x14ac:dyDescent="0.2">
      <c r="A3977">
        <v>10016742</v>
      </c>
      <c r="B3977">
        <v>29281842</v>
      </c>
      <c r="C3977">
        <v>25</v>
      </c>
      <c r="D3977" s="1" t="s">
        <v>361</v>
      </c>
      <c r="E3977">
        <v>10</v>
      </c>
    </row>
    <row r="3978" spans="1:5" x14ac:dyDescent="0.2">
      <c r="A3978">
        <v>10016742</v>
      </c>
      <c r="B3978">
        <v>29281842</v>
      </c>
      <c r="C3978">
        <v>23</v>
      </c>
      <c r="D3978" s="1" t="s">
        <v>1355</v>
      </c>
      <c r="E3978">
        <v>10</v>
      </c>
    </row>
    <row r="3979" spans="1:5" x14ac:dyDescent="0.2">
      <c r="A3979">
        <v>10016742</v>
      </c>
      <c r="B3979">
        <v>29281842</v>
      </c>
      <c r="C3979">
        <v>20</v>
      </c>
      <c r="D3979" s="1" t="s">
        <v>1585</v>
      </c>
      <c r="E3979">
        <v>10</v>
      </c>
    </row>
    <row r="3980" spans="1:5" x14ac:dyDescent="0.2">
      <c r="A3980">
        <v>10016742</v>
      </c>
      <c r="B3980">
        <v>29281842</v>
      </c>
      <c r="C3980">
        <v>11</v>
      </c>
      <c r="D3980" s="1" t="s">
        <v>617</v>
      </c>
      <c r="E3980">
        <v>10</v>
      </c>
    </row>
    <row r="3981" spans="1:5" x14ac:dyDescent="0.2">
      <c r="A3981">
        <v>10016742</v>
      </c>
      <c r="B3981">
        <v>29281842</v>
      </c>
      <c r="C3981">
        <v>21</v>
      </c>
      <c r="D3981" s="1" t="s">
        <v>337</v>
      </c>
      <c r="E3981">
        <v>10</v>
      </c>
    </row>
    <row r="3982" spans="1:5" x14ac:dyDescent="0.2">
      <c r="A3982">
        <v>10016742</v>
      </c>
      <c r="B3982">
        <v>29281842</v>
      </c>
      <c r="C3982">
        <v>22</v>
      </c>
      <c r="D3982" s="1" t="s">
        <v>1081</v>
      </c>
      <c r="E3982">
        <v>10</v>
      </c>
    </row>
    <row r="3983" spans="1:5" x14ac:dyDescent="0.2">
      <c r="A3983">
        <v>10016742</v>
      </c>
      <c r="B3983">
        <v>29281842</v>
      </c>
      <c r="C3983">
        <v>13</v>
      </c>
      <c r="D3983" s="1" t="s">
        <v>1586</v>
      </c>
      <c r="E3983">
        <v>10</v>
      </c>
    </row>
    <row r="3984" spans="1:5" x14ac:dyDescent="0.2">
      <c r="A3984">
        <v>10016742</v>
      </c>
      <c r="B3984">
        <v>29281842</v>
      </c>
      <c r="C3984">
        <v>14</v>
      </c>
      <c r="D3984" s="1" t="s">
        <v>1587</v>
      </c>
      <c r="E3984">
        <v>10</v>
      </c>
    </row>
    <row r="3985" spans="1:5" x14ac:dyDescent="0.2">
      <c r="A3985">
        <v>10016742</v>
      </c>
      <c r="B3985">
        <v>27568122</v>
      </c>
      <c r="C3985">
        <v>7</v>
      </c>
      <c r="D3985" s="1" t="s">
        <v>1588</v>
      </c>
      <c r="E3985">
        <v>10</v>
      </c>
    </row>
    <row r="3986" spans="1:5" x14ac:dyDescent="0.2">
      <c r="A3986">
        <v>10016742</v>
      </c>
      <c r="B3986">
        <v>27568122</v>
      </c>
      <c r="C3986">
        <v>2</v>
      </c>
      <c r="D3986" s="1" t="s">
        <v>1576</v>
      </c>
      <c r="E3986">
        <v>10</v>
      </c>
    </row>
    <row r="3987" spans="1:5" x14ac:dyDescent="0.2">
      <c r="A3987">
        <v>10016742</v>
      </c>
      <c r="B3987">
        <v>27568122</v>
      </c>
      <c r="C3987">
        <v>6</v>
      </c>
      <c r="D3987" s="1" t="s">
        <v>1415</v>
      </c>
      <c r="E3987">
        <v>10</v>
      </c>
    </row>
    <row r="3988" spans="1:5" x14ac:dyDescent="0.2">
      <c r="A3988">
        <v>10016742</v>
      </c>
      <c r="B3988">
        <v>27568122</v>
      </c>
      <c r="C3988">
        <v>8</v>
      </c>
      <c r="D3988" s="1" t="s">
        <v>361</v>
      </c>
      <c r="E3988">
        <v>10</v>
      </c>
    </row>
    <row r="3989" spans="1:5" x14ac:dyDescent="0.2">
      <c r="A3989">
        <v>10016742</v>
      </c>
      <c r="B3989">
        <v>27568122</v>
      </c>
      <c r="C3989">
        <v>4</v>
      </c>
      <c r="D3989" s="1" t="s">
        <v>1577</v>
      </c>
      <c r="E3989">
        <v>10</v>
      </c>
    </row>
    <row r="3990" spans="1:5" x14ac:dyDescent="0.2">
      <c r="A3990">
        <v>10016742</v>
      </c>
      <c r="B3990">
        <v>27568122</v>
      </c>
      <c r="C3990">
        <v>10</v>
      </c>
      <c r="D3990" s="1" t="s">
        <v>620</v>
      </c>
      <c r="E3990">
        <v>10</v>
      </c>
    </row>
    <row r="3991" spans="1:5" x14ac:dyDescent="0.2">
      <c r="A3991">
        <v>10016742</v>
      </c>
      <c r="B3991">
        <v>27568122</v>
      </c>
      <c r="C3991">
        <v>9</v>
      </c>
      <c r="D3991" s="1" t="s">
        <v>328</v>
      </c>
      <c r="E3991">
        <v>10</v>
      </c>
    </row>
    <row r="3992" spans="1:5" x14ac:dyDescent="0.2">
      <c r="A3992">
        <v>10016742</v>
      </c>
      <c r="B3992">
        <v>27568122</v>
      </c>
      <c r="C3992">
        <v>11</v>
      </c>
      <c r="D3992" s="1" t="s">
        <v>312</v>
      </c>
      <c r="E3992">
        <v>10</v>
      </c>
    </row>
    <row r="3993" spans="1:5" x14ac:dyDescent="0.2">
      <c r="A3993">
        <v>10016742</v>
      </c>
      <c r="B3993">
        <v>27568122</v>
      </c>
      <c r="C3993">
        <v>5</v>
      </c>
      <c r="D3993" s="1" t="s">
        <v>1082</v>
      </c>
      <c r="E3993">
        <v>10</v>
      </c>
    </row>
    <row r="3994" spans="1:5" x14ac:dyDescent="0.2">
      <c r="A3994">
        <v>10016742</v>
      </c>
      <c r="B3994">
        <v>27568122</v>
      </c>
      <c r="C3994">
        <v>3</v>
      </c>
      <c r="D3994" s="1" t="s">
        <v>863</v>
      </c>
      <c r="E3994">
        <v>10</v>
      </c>
    </row>
    <row r="3995" spans="1:5" x14ac:dyDescent="0.2">
      <c r="A3995">
        <v>10016742</v>
      </c>
      <c r="B3995">
        <v>27568122</v>
      </c>
      <c r="C3995">
        <v>1</v>
      </c>
      <c r="D3995" s="1" t="s">
        <v>741</v>
      </c>
      <c r="E3995">
        <v>10</v>
      </c>
    </row>
    <row r="3996" spans="1:5" x14ac:dyDescent="0.2">
      <c r="A3996">
        <v>10004457</v>
      </c>
      <c r="B3996">
        <v>28108313</v>
      </c>
      <c r="C3996">
        <v>4</v>
      </c>
      <c r="D3996" s="1" t="s">
        <v>1589</v>
      </c>
      <c r="E3996">
        <v>10</v>
      </c>
    </row>
    <row r="3997" spans="1:5" x14ac:dyDescent="0.2">
      <c r="A3997">
        <v>10004457</v>
      </c>
      <c r="B3997">
        <v>28108313</v>
      </c>
      <c r="C3997">
        <v>2</v>
      </c>
      <c r="D3997" s="1" t="s">
        <v>335</v>
      </c>
      <c r="E3997">
        <v>10</v>
      </c>
    </row>
    <row r="3998" spans="1:5" x14ac:dyDescent="0.2">
      <c r="A3998">
        <v>10004457</v>
      </c>
      <c r="B3998">
        <v>28108313</v>
      </c>
      <c r="C3998">
        <v>6</v>
      </c>
      <c r="D3998" s="1" t="s">
        <v>329</v>
      </c>
      <c r="E3998">
        <v>10</v>
      </c>
    </row>
    <row r="3999" spans="1:5" x14ac:dyDescent="0.2">
      <c r="A3999">
        <v>10004457</v>
      </c>
      <c r="B3999">
        <v>28108313</v>
      </c>
      <c r="C3999">
        <v>7</v>
      </c>
      <c r="D3999" s="1" t="s">
        <v>444</v>
      </c>
      <c r="E3999">
        <v>10</v>
      </c>
    </row>
    <row r="4000" spans="1:5" x14ac:dyDescent="0.2">
      <c r="A4000">
        <v>10004457</v>
      </c>
      <c r="B4000">
        <v>28108313</v>
      </c>
      <c r="C4000">
        <v>1</v>
      </c>
      <c r="D4000" s="1" t="s">
        <v>1590</v>
      </c>
      <c r="E4000">
        <v>10</v>
      </c>
    </row>
    <row r="4001" spans="1:5" x14ac:dyDescent="0.2">
      <c r="A4001">
        <v>10004457</v>
      </c>
      <c r="B4001">
        <v>28108313</v>
      </c>
      <c r="C4001">
        <v>8</v>
      </c>
      <c r="D4001" s="1" t="s">
        <v>1491</v>
      </c>
      <c r="E4001">
        <v>10</v>
      </c>
    </row>
    <row r="4002" spans="1:5" x14ac:dyDescent="0.2">
      <c r="A4002">
        <v>10004457</v>
      </c>
      <c r="B4002">
        <v>28108313</v>
      </c>
      <c r="C4002">
        <v>5</v>
      </c>
      <c r="D4002" s="1" t="s">
        <v>1591</v>
      </c>
      <c r="E4002">
        <v>10</v>
      </c>
    </row>
    <row r="4003" spans="1:5" x14ac:dyDescent="0.2">
      <c r="A4003">
        <v>10004457</v>
      </c>
      <c r="B4003">
        <v>28108313</v>
      </c>
      <c r="C4003">
        <v>10</v>
      </c>
      <c r="D4003" s="1" t="s">
        <v>1079</v>
      </c>
      <c r="E4003">
        <v>10</v>
      </c>
    </row>
    <row r="4004" spans="1:5" x14ac:dyDescent="0.2">
      <c r="A4004">
        <v>10004457</v>
      </c>
      <c r="B4004">
        <v>28108313</v>
      </c>
      <c r="C4004">
        <v>9</v>
      </c>
      <c r="D4004" s="1" t="s">
        <v>1592</v>
      </c>
      <c r="E4004">
        <v>10</v>
      </c>
    </row>
    <row r="4005" spans="1:5" x14ac:dyDescent="0.2">
      <c r="A4005">
        <v>10004457</v>
      </c>
      <c r="B4005">
        <v>28108313</v>
      </c>
      <c r="C4005">
        <v>3</v>
      </c>
      <c r="D4005" s="1" t="s">
        <v>477</v>
      </c>
      <c r="E4005">
        <v>10</v>
      </c>
    </row>
    <row r="4006" spans="1:5" x14ac:dyDescent="0.2">
      <c r="A4006">
        <v>10004457</v>
      </c>
      <c r="B4006">
        <v>21216581</v>
      </c>
      <c r="C4006">
        <v>5</v>
      </c>
      <c r="D4006" s="1" t="s">
        <v>1593</v>
      </c>
      <c r="E4006">
        <v>9</v>
      </c>
    </row>
    <row r="4007" spans="1:5" x14ac:dyDescent="0.2">
      <c r="A4007">
        <v>10004457</v>
      </c>
      <c r="B4007">
        <v>21216581</v>
      </c>
      <c r="C4007">
        <v>4</v>
      </c>
      <c r="D4007" s="1" t="s">
        <v>544</v>
      </c>
      <c r="E4007">
        <v>9</v>
      </c>
    </row>
    <row r="4008" spans="1:5" x14ac:dyDescent="0.2">
      <c r="A4008">
        <v>10004457</v>
      </c>
      <c r="B4008">
        <v>21216581</v>
      </c>
      <c r="C4008">
        <v>1</v>
      </c>
      <c r="D4008" s="1" t="s">
        <v>743</v>
      </c>
      <c r="E4008">
        <v>9</v>
      </c>
    </row>
    <row r="4009" spans="1:5" x14ac:dyDescent="0.2">
      <c r="A4009">
        <v>10004457</v>
      </c>
      <c r="B4009">
        <v>21216581</v>
      </c>
      <c r="C4009">
        <v>10</v>
      </c>
      <c r="D4009" s="1" t="s">
        <v>1594</v>
      </c>
      <c r="E4009">
        <v>9</v>
      </c>
    </row>
    <row r="4010" spans="1:5" x14ac:dyDescent="0.2">
      <c r="A4010">
        <v>10004457</v>
      </c>
      <c r="B4010">
        <v>21216581</v>
      </c>
      <c r="C4010">
        <v>8</v>
      </c>
      <c r="D4010" s="1" t="s">
        <v>382</v>
      </c>
      <c r="E4010">
        <v>9</v>
      </c>
    </row>
    <row r="4011" spans="1:5" x14ac:dyDescent="0.2">
      <c r="A4011">
        <v>10004457</v>
      </c>
      <c r="B4011">
        <v>21216581</v>
      </c>
      <c r="C4011">
        <v>7</v>
      </c>
      <c r="D4011" s="1" t="s">
        <v>418</v>
      </c>
      <c r="E4011">
        <v>9</v>
      </c>
    </row>
    <row r="4012" spans="1:5" x14ac:dyDescent="0.2">
      <c r="A4012">
        <v>10004457</v>
      </c>
      <c r="B4012">
        <v>21216581</v>
      </c>
      <c r="C4012">
        <v>6</v>
      </c>
      <c r="D4012" s="1" t="s">
        <v>466</v>
      </c>
      <c r="E4012">
        <v>9</v>
      </c>
    </row>
    <row r="4013" spans="1:5" x14ac:dyDescent="0.2">
      <c r="A4013">
        <v>10004457</v>
      </c>
      <c r="B4013">
        <v>21216581</v>
      </c>
      <c r="C4013">
        <v>9</v>
      </c>
      <c r="D4013" s="1" t="s">
        <v>838</v>
      </c>
      <c r="E4013">
        <v>9</v>
      </c>
    </row>
    <row r="4014" spans="1:5" x14ac:dyDescent="0.2">
      <c r="A4014">
        <v>10004457</v>
      </c>
      <c r="B4014">
        <v>21216581</v>
      </c>
      <c r="C4014">
        <v>2</v>
      </c>
      <c r="D4014" s="1" t="s">
        <v>463</v>
      </c>
      <c r="E4014">
        <v>9</v>
      </c>
    </row>
    <row r="4015" spans="1:5" x14ac:dyDescent="0.2">
      <c r="A4015">
        <v>10004457</v>
      </c>
      <c r="B4015">
        <v>21216581</v>
      </c>
      <c r="C4015">
        <v>3</v>
      </c>
      <c r="D4015" s="1" t="s">
        <v>1595</v>
      </c>
      <c r="E4015">
        <v>9</v>
      </c>
    </row>
    <row r="4016" spans="1:5" x14ac:dyDescent="0.2">
      <c r="A4016">
        <v>10004457</v>
      </c>
      <c r="B4016">
        <v>25559382</v>
      </c>
      <c r="C4016">
        <v>10</v>
      </c>
      <c r="D4016" s="1" t="s">
        <v>519</v>
      </c>
      <c r="E4016">
        <v>10</v>
      </c>
    </row>
    <row r="4017" spans="1:5" x14ac:dyDescent="0.2">
      <c r="A4017">
        <v>10004457</v>
      </c>
      <c r="B4017">
        <v>25559382</v>
      </c>
      <c r="C4017">
        <v>14</v>
      </c>
      <c r="D4017" s="1" t="s">
        <v>1591</v>
      </c>
      <c r="E4017">
        <v>10</v>
      </c>
    </row>
    <row r="4018" spans="1:5" x14ac:dyDescent="0.2">
      <c r="A4018">
        <v>10004457</v>
      </c>
      <c r="B4018">
        <v>25559382</v>
      </c>
      <c r="C4018">
        <v>9</v>
      </c>
      <c r="D4018" s="1" t="s">
        <v>1535</v>
      </c>
      <c r="E4018">
        <v>10</v>
      </c>
    </row>
    <row r="4019" spans="1:5" x14ac:dyDescent="0.2">
      <c r="A4019">
        <v>10004457</v>
      </c>
      <c r="B4019">
        <v>25559382</v>
      </c>
      <c r="C4019">
        <v>1</v>
      </c>
      <c r="D4019" s="1" t="s">
        <v>436</v>
      </c>
      <c r="E4019">
        <v>10</v>
      </c>
    </row>
    <row r="4020" spans="1:5" x14ac:dyDescent="0.2">
      <c r="A4020">
        <v>10004457</v>
      </c>
      <c r="B4020">
        <v>25559382</v>
      </c>
      <c r="C4020">
        <v>5</v>
      </c>
      <c r="D4020" s="1" t="s">
        <v>447</v>
      </c>
      <c r="E4020">
        <v>10</v>
      </c>
    </row>
    <row r="4021" spans="1:5" x14ac:dyDescent="0.2">
      <c r="A4021">
        <v>10004457</v>
      </c>
      <c r="B4021">
        <v>25559382</v>
      </c>
      <c r="C4021">
        <v>17</v>
      </c>
      <c r="D4021" s="1" t="s">
        <v>434</v>
      </c>
      <c r="E4021">
        <v>10</v>
      </c>
    </row>
    <row r="4022" spans="1:5" x14ac:dyDescent="0.2">
      <c r="A4022">
        <v>10004457</v>
      </c>
      <c r="B4022">
        <v>25559382</v>
      </c>
      <c r="C4022">
        <v>4</v>
      </c>
      <c r="D4022" s="1" t="s">
        <v>1078</v>
      </c>
      <c r="E4022">
        <v>10</v>
      </c>
    </row>
    <row r="4023" spans="1:5" x14ac:dyDescent="0.2">
      <c r="A4023">
        <v>10004457</v>
      </c>
      <c r="B4023">
        <v>25559382</v>
      </c>
      <c r="C4023">
        <v>7</v>
      </c>
      <c r="D4023" s="1" t="s">
        <v>1066</v>
      </c>
      <c r="E4023">
        <v>10</v>
      </c>
    </row>
    <row r="4024" spans="1:5" x14ac:dyDescent="0.2">
      <c r="A4024">
        <v>10004457</v>
      </c>
      <c r="B4024">
        <v>25559382</v>
      </c>
      <c r="C4024">
        <v>3</v>
      </c>
      <c r="D4024" s="1" t="s">
        <v>477</v>
      </c>
      <c r="E4024">
        <v>10</v>
      </c>
    </row>
    <row r="4025" spans="1:5" x14ac:dyDescent="0.2">
      <c r="A4025">
        <v>10004457</v>
      </c>
      <c r="B4025">
        <v>25559382</v>
      </c>
      <c r="C4025">
        <v>15</v>
      </c>
      <c r="D4025" s="1" t="s">
        <v>1589</v>
      </c>
      <c r="E4025">
        <v>10</v>
      </c>
    </row>
    <row r="4026" spans="1:5" x14ac:dyDescent="0.2">
      <c r="A4026">
        <v>10004457</v>
      </c>
      <c r="B4026">
        <v>25559382</v>
      </c>
      <c r="C4026">
        <v>12</v>
      </c>
      <c r="D4026" s="1" t="s">
        <v>1596</v>
      </c>
      <c r="E4026">
        <v>10</v>
      </c>
    </row>
    <row r="4027" spans="1:5" x14ac:dyDescent="0.2">
      <c r="A4027">
        <v>10004457</v>
      </c>
      <c r="B4027">
        <v>25559382</v>
      </c>
      <c r="C4027">
        <v>16</v>
      </c>
      <c r="D4027" s="1" t="s">
        <v>430</v>
      </c>
      <c r="E4027">
        <v>10</v>
      </c>
    </row>
    <row r="4028" spans="1:5" x14ac:dyDescent="0.2">
      <c r="A4028">
        <v>10004457</v>
      </c>
      <c r="B4028">
        <v>25559382</v>
      </c>
      <c r="C4028">
        <v>11</v>
      </c>
      <c r="D4028" s="1" t="s">
        <v>612</v>
      </c>
      <c r="E4028">
        <v>10</v>
      </c>
    </row>
    <row r="4029" spans="1:5" x14ac:dyDescent="0.2">
      <c r="A4029">
        <v>10004457</v>
      </c>
      <c r="B4029">
        <v>25559382</v>
      </c>
      <c r="C4029">
        <v>8</v>
      </c>
      <c r="D4029" s="1" t="s">
        <v>380</v>
      </c>
      <c r="E4029">
        <v>10</v>
      </c>
    </row>
    <row r="4030" spans="1:5" x14ac:dyDescent="0.2">
      <c r="A4030">
        <v>10004457</v>
      </c>
      <c r="B4030">
        <v>25559382</v>
      </c>
      <c r="C4030">
        <v>2</v>
      </c>
      <c r="D4030" s="1" t="s">
        <v>444</v>
      </c>
      <c r="E4030">
        <v>10</v>
      </c>
    </row>
    <row r="4031" spans="1:5" x14ac:dyDescent="0.2">
      <c r="A4031">
        <v>10004457</v>
      </c>
      <c r="B4031">
        <v>25559382</v>
      </c>
      <c r="C4031">
        <v>13</v>
      </c>
      <c r="D4031" s="1" t="s">
        <v>1592</v>
      </c>
      <c r="E4031">
        <v>10</v>
      </c>
    </row>
    <row r="4032" spans="1:5" x14ac:dyDescent="0.2">
      <c r="A4032">
        <v>10004457</v>
      </c>
      <c r="B4032">
        <v>25559382</v>
      </c>
      <c r="C4032">
        <v>6</v>
      </c>
      <c r="D4032" s="1" t="s">
        <v>329</v>
      </c>
      <c r="E4032">
        <v>10</v>
      </c>
    </row>
    <row r="4033" spans="1:5" x14ac:dyDescent="0.2">
      <c r="A4033">
        <v>10004457</v>
      </c>
      <c r="B4033">
        <v>28723315</v>
      </c>
      <c r="C4033">
        <v>9</v>
      </c>
      <c r="D4033" s="1" t="s">
        <v>745</v>
      </c>
      <c r="E4033">
        <v>9</v>
      </c>
    </row>
    <row r="4034" spans="1:5" x14ac:dyDescent="0.2">
      <c r="A4034">
        <v>10004457</v>
      </c>
      <c r="B4034">
        <v>28723315</v>
      </c>
      <c r="C4034">
        <v>4</v>
      </c>
      <c r="D4034" s="1" t="s">
        <v>295</v>
      </c>
      <c r="E4034">
        <v>9</v>
      </c>
    </row>
    <row r="4035" spans="1:5" x14ac:dyDescent="0.2">
      <c r="A4035">
        <v>10004457</v>
      </c>
      <c r="B4035">
        <v>28723315</v>
      </c>
      <c r="C4035">
        <v>2</v>
      </c>
      <c r="D4035" s="1" t="s">
        <v>253</v>
      </c>
      <c r="E4035">
        <v>9</v>
      </c>
    </row>
    <row r="4036" spans="1:5" x14ac:dyDescent="0.2">
      <c r="A4036">
        <v>10004457</v>
      </c>
      <c r="B4036">
        <v>28723315</v>
      </c>
      <c r="C4036">
        <v>6</v>
      </c>
      <c r="D4036" s="1" t="s">
        <v>838</v>
      </c>
      <c r="E4036">
        <v>9</v>
      </c>
    </row>
    <row r="4037" spans="1:5" x14ac:dyDescent="0.2">
      <c r="A4037">
        <v>10004457</v>
      </c>
      <c r="B4037">
        <v>28723315</v>
      </c>
      <c r="C4037">
        <v>1</v>
      </c>
      <c r="D4037" s="1" t="s">
        <v>530</v>
      </c>
      <c r="E4037">
        <v>9</v>
      </c>
    </row>
    <row r="4038" spans="1:5" x14ac:dyDescent="0.2">
      <c r="A4038">
        <v>10004457</v>
      </c>
      <c r="B4038">
        <v>28723315</v>
      </c>
      <c r="C4038">
        <v>5</v>
      </c>
      <c r="D4038" s="1" t="s">
        <v>466</v>
      </c>
      <c r="E4038">
        <v>9</v>
      </c>
    </row>
    <row r="4039" spans="1:5" x14ac:dyDescent="0.2">
      <c r="A4039">
        <v>10004457</v>
      </c>
      <c r="B4039">
        <v>28723315</v>
      </c>
      <c r="C4039">
        <v>12</v>
      </c>
      <c r="D4039" s="1" t="s">
        <v>368</v>
      </c>
      <c r="E4039">
        <v>9</v>
      </c>
    </row>
    <row r="4040" spans="1:5" x14ac:dyDescent="0.2">
      <c r="A4040">
        <v>10004457</v>
      </c>
      <c r="B4040">
        <v>28723315</v>
      </c>
      <c r="C4040">
        <v>8</v>
      </c>
      <c r="D4040" s="1" t="s">
        <v>386</v>
      </c>
      <c r="E4040">
        <v>9</v>
      </c>
    </row>
    <row r="4041" spans="1:5" x14ac:dyDescent="0.2">
      <c r="A4041">
        <v>10004457</v>
      </c>
      <c r="B4041">
        <v>28723315</v>
      </c>
      <c r="C4041">
        <v>10</v>
      </c>
      <c r="D4041" s="1" t="s">
        <v>318</v>
      </c>
      <c r="E4041">
        <v>9</v>
      </c>
    </row>
    <row r="4042" spans="1:5" x14ac:dyDescent="0.2">
      <c r="A4042">
        <v>10004457</v>
      </c>
      <c r="B4042">
        <v>28723315</v>
      </c>
      <c r="C4042">
        <v>7</v>
      </c>
      <c r="D4042" s="1" t="s">
        <v>1597</v>
      </c>
      <c r="E4042">
        <v>9</v>
      </c>
    </row>
    <row r="4043" spans="1:5" x14ac:dyDescent="0.2">
      <c r="A4043">
        <v>10004457</v>
      </c>
      <c r="B4043">
        <v>28723315</v>
      </c>
      <c r="C4043">
        <v>3</v>
      </c>
      <c r="D4043" s="1" t="s">
        <v>658</v>
      </c>
      <c r="E4043">
        <v>9</v>
      </c>
    </row>
    <row r="4044" spans="1:5" x14ac:dyDescent="0.2">
      <c r="A4044">
        <v>10004457</v>
      </c>
      <c r="B4044">
        <v>28723315</v>
      </c>
      <c r="C4044">
        <v>11</v>
      </c>
      <c r="D4044" s="1" t="s">
        <v>1598</v>
      </c>
      <c r="E4044">
        <v>9</v>
      </c>
    </row>
    <row r="4045" spans="1:5" x14ac:dyDescent="0.2">
      <c r="A4045">
        <v>10004457</v>
      </c>
      <c r="B4045">
        <v>28723315</v>
      </c>
      <c r="C4045">
        <v>13</v>
      </c>
      <c r="D4045" s="1" t="s">
        <v>538</v>
      </c>
      <c r="E4045">
        <v>9</v>
      </c>
    </row>
    <row r="4046" spans="1:5" x14ac:dyDescent="0.2">
      <c r="A4046">
        <v>10004457</v>
      </c>
      <c r="B4046">
        <v>21039249</v>
      </c>
      <c r="C4046">
        <v>8</v>
      </c>
      <c r="D4046" s="1" t="s">
        <v>318</v>
      </c>
      <c r="E4046">
        <v>9</v>
      </c>
    </row>
    <row r="4047" spans="1:5" x14ac:dyDescent="0.2">
      <c r="A4047">
        <v>10004457</v>
      </c>
      <c r="B4047">
        <v>21039249</v>
      </c>
      <c r="C4047">
        <v>7</v>
      </c>
      <c r="D4047" s="1" t="s">
        <v>745</v>
      </c>
      <c r="E4047">
        <v>9</v>
      </c>
    </row>
    <row r="4048" spans="1:5" x14ac:dyDescent="0.2">
      <c r="A4048">
        <v>10004457</v>
      </c>
      <c r="B4048">
        <v>21039249</v>
      </c>
      <c r="C4048">
        <v>3</v>
      </c>
      <c r="D4048" s="1" t="s">
        <v>296</v>
      </c>
      <c r="E4048">
        <v>9</v>
      </c>
    </row>
    <row r="4049" spans="1:5" x14ac:dyDescent="0.2">
      <c r="A4049">
        <v>10004457</v>
      </c>
      <c r="B4049">
        <v>21039249</v>
      </c>
      <c r="C4049">
        <v>6</v>
      </c>
      <c r="D4049" s="1" t="s">
        <v>1599</v>
      </c>
      <c r="E4049">
        <v>9</v>
      </c>
    </row>
    <row r="4050" spans="1:5" x14ac:dyDescent="0.2">
      <c r="A4050">
        <v>10004457</v>
      </c>
      <c r="B4050">
        <v>21039249</v>
      </c>
      <c r="C4050">
        <v>5</v>
      </c>
      <c r="D4050" s="1" t="s">
        <v>838</v>
      </c>
      <c r="E4050">
        <v>9</v>
      </c>
    </row>
    <row r="4051" spans="1:5" x14ac:dyDescent="0.2">
      <c r="A4051">
        <v>10004457</v>
      </c>
      <c r="B4051">
        <v>21039249</v>
      </c>
      <c r="C4051">
        <v>4</v>
      </c>
      <c r="D4051" s="1" t="s">
        <v>368</v>
      </c>
      <c r="E4051">
        <v>9</v>
      </c>
    </row>
    <row r="4052" spans="1:5" x14ac:dyDescent="0.2">
      <c r="A4052">
        <v>10004457</v>
      </c>
      <c r="B4052">
        <v>21039249</v>
      </c>
      <c r="C4052">
        <v>2</v>
      </c>
      <c r="D4052" s="1" t="s">
        <v>259</v>
      </c>
      <c r="E4052">
        <v>9</v>
      </c>
    </row>
    <row r="4053" spans="1:5" x14ac:dyDescent="0.2">
      <c r="A4053">
        <v>10004457</v>
      </c>
      <c r="B4053">
        <v>21039249</v>
      </c>
      <c r="C4053">
        <v>1</v>
      </c>
      <c r="D4053" s="1" t="s">
        <v>253</v>
      </c>
      <c r="E4053">
        <v>9</v>
      </c>
    </row>
    <row r="4054" spans="1:5" x14ac:dyDescent="0.2">
      <c r="A4054">
        <v>10004457</v>
      </c>
      <c r="B4054">
        <v>23251352</v>
      </c>
      <c r="C4054">
        <v>10</v>
      </c>
      <c r="D4054" s="1" t="s">
        <v>359</v>
      </c>
      <c r="E4054">
        <v>9</v>
      </c>
    </row>
    <row r="4055" spans="1:5" x14ac:dyDescent="0.2">
      <c r="A4055">
        <v>10004457</v>
      </c>
      <c r="B4055">
        <v>23251352</v>
      </c>
      <c r="C4055">
        <v>6</v>
      </c>
      <c r="D4055" s="1" t="s">
        <v>1597</v>
      </c>
      <c r="E4055">
        <v>9</v>
      </c>
    </row>
    <row r="4056" spans="1:5" x14ac:dyDescent="0.2">
      <c r="A4056">
        <v>10004457</v>
      </c>
      <c r="B4056">
        <v>23251352</v>
      </c>
      <c r="C4056">
        <v>2</v>
      </c>
      <c r="D4056" s="1" t="s">
        <v>253</v>
      </c>
      <c r="E4056">
        <v>9</v>
      </c>
    </row>
    <row r="4057" spans="1:5" x14ac:dyDescent="0.2">
      <c r="A4057">
        <v>10004457</v>
      </c>
      <c r="B4057">
        <v>23251352</v>
      </c>
      <c r="C4057">
        <v>7</v>
      </c>
      <c r="D4057" s="1" t="s">
        <v>259</v>
      </c>
      <c r="E4057">
        <v>9</v>
      </c>
    </row>
    <row r="4058" spans="1:5" x14ac:dyDescent="0.2">
      <c r="A4058">
        <v>10004457</v>
      </c>
      <c r="B4058">
        <v>23251352</v>
      </c>
      <c r="C4058">
        <v>9</v>
      </c>
      <c r="D4058" s="1" t="s">
        <v>745</v>
      </c>
      <c r="E4058">
        <v>9</v>
      </c>
    </row>
    <row r="4059" spans="1:5" x14ac:dyDescent="0.2">
      <c r="A4059">
        <v>10004457</v>
      </c>
      <c r="B4059">
        <v>23251352</v>
      </c>
      <c r="C4059">
        <v>3</v>
      </c>
      <c r="D4059" s="1" t="s">
        <v>466</v>
      </c>
      <c r="E4059">
        <v>9</v>
      </c>
    </row>
    <row r="4060" spans="1:5" x14ac:dyDescent="0.2">
      <c r="A4060">
        <v>10004457</v>
      </c>
      <c r="B4060">
        <v>23251352</v>
      </c>
      <c r="C4060">
        <v>5</v>
      </c>
      <c r="D4060" s="1" t="s">
        <v>838</v>
      </c>
      <c r="E4060">
        <v>9</v>
      </c>
    </row>
    <row r="4061" spans="1:5" x14ac:dyDescent="0.2">
      <c r="A4061">
        <v>10004457</v>
      </c>
      <c r="B4061">
        <v>23251352</v>
      </c>
      <c r="C4061">
        <v>1</v>
      </c>
      <c r="D4061" s="1" t="s">
        <v>1600</v>
      </c>
      <c r="E4061">
        <v>9</v>
      </c>
    </row>
    <row r="4062" spans="1:5" x14ac:dyDescent="0.2">
      <c r="A4062">
        <v>10004457</v>
      </c>
      <c r="B4062">
        <v>23251352</v>
      </c>
      <c r="C4062">
        <v>11</v>
      </c>
      <c r="D4062" s="1" t="s">
        <v>368</v>
      </c>
      <c r="E4062">
        <v>9</v>
      </c>
    </row>
    <row r="4063" spans="1:5" x14ac:dyDescent="0.2">
      <c r="A4063">
        <v>10004457</v>
      </c>
      <c r="B4063">
        <v>23251352</v>
      </c>
      <c r="C4063">
        <v>4</v>
      </c>
      <c r="D4063" s="1" t="s">
        <v>323</v>
      </c>
      <c r="E4063">
        <v>9</v>
      </c>
    </row>
    <row r="4064" spans="1:5" x14ac:dyDescent="0.2">
      <c r="A4064">
        <v>10004457</v>
      </c>
      <c r="B4064">
        <v>23251352</v>
      </c>
      <c r="C4064">
        <v>8</v>
      </c>
      <c r="D4064" s="1" t="s">
        <v>318</v>
      </c>
      <c r="E4064">
        <v>9</v>
      </c>
    </row>
    <row r="4065" spans="1:5" x14ac:dyDescent="0.2">
      <c r="A4065">
        <v>10029291</v>
      </c>
      <c r="B4065">
        <v>22205327</v>
      </c>
      <c r="C4065">
        <v>27</v>
      </c>
      <c r="D4065" s="1" t="s">
        <v>684</v>
      </c>
      <c r="E4065">
        <v>10</v>
      </c>
    </row>
    <row r="4066" spans="1:5" x14ac:dyDescent="0.2">
      <c r="A4066">
        <v>10029291</v>
      </c>
      <c r="B4066">
        <v>22205327</v>
      </c>
      <c r="C4066">
        <v>31</v>
      </c>
      <c r="D4066" s="1" t="s">
        <v>337</v>
      </c>
      <c r="E4066">
        <v>10</v>
      </c>
    </row>
    <row r="4067" spans="1:5" x14ac:dyDescent="0.2">
      <c r="A4067">
        <v>10029291</v>
      </c>
      <c r="B4067">
        <v>22205327</v>
      </c>
      <c r="C4067">
        <v>25</v>
      </c>
      <c r="D4067" s="1" t="s">
        <v>1133</v>
      </c>
      <c r="E4067">
        <v>10</v>
      </c>
    </row>
    <row r="4068" spans="1:5" x14ac:dyDescent="0.2">
      <c r="A4068">
        <v>10029291</v>
      </c>
      <c r="B4068">
        <v>22205327</v>
      </c>
      <c r="C4068">
        <v>14</v>
      </c>
      <c r="D4068" s="1" t="s">
        <v>1601</v>
      </c>
      <c r="E4068">
        <v>10</v>
      </c>
    </row>
    <row r="4069" spans="1:5" x14ac:dyDescent="0.2">
      <c r="A4069">
        <v>10029291</v>
      </c>
      <c r="B4069">
        <v>22205327</v>
      </c>
      <c r="C4069">
        <v>20</v>
      </c>
      <c r="D4069" s="1" t="s">
        <v>329</v>
      </c>
      <c r="E4069">
        <v>10</v>
      </c>
    </row>
    <row r="4070" spans="1:5" x14ac:dyDescent="0.2">
      <c r="A4070">
        <v>10029291</v>
      </c>
      <c r="B4070">
        <v>22205327</v>
      </c>
      <c r="C4070">
        <v>23</v>
      </c>
      <c r="D4070" s="1" t="s">
        <v>737</v>
      </c>
      <c r="E4070">
        <v>10</v>
      </c>
    </row>
    <row r="4071" spans="1:5" x14ac:dyDescent="0.2">
      <c r="A4071">
        <v>10029291</v>
      </c>
      <c r="B4071">
        <v>22205327</v>
      </c>
      <c r="C4071">
        <v>18</v>
      </c>
      <c r="D4071" s="1" t="s">
        <v>558</v>
      </c>
      <c r="E4071">
        <v>10</v>
      </c>
    </row>
    <row r="4072" spans="1:5" x14ac:dyDescent="0.2">
      <c r="A4072">
        <v>10029291</v>
      </c>
      <c r="B4072">
        <v>22205327</v>
      </c>
      <c r="C4072">
        <v>11</v>
      </c>
      <c r="D4072" s="1" t="s">
        <v>620</v>
      </c>
      <c r="E4072">
        <v>10</v>
      </c>
    </row>
    <row r="4073" spans="1:5" x14ac:dyDescent="0.2">
      <c r="A4073">
        <v>10029291</v>
      </c>
      <c r="B4073">
        <v>22205327</v>
      </c>
      <c r="C4073">
        <v>32</v>
      </c>
      <c r="D4073" s="1" t="s">
        <v>1602</v>
      </c>
      <c r="E4073">
        <v>10</v>
      </c>
    </row>
    <row r="4074" spans="1:5" x14ac:dyDescent="0.2">
      <c r="A4074">
        <v>10029291</v>
      </c>
      <c r="B4074">
        <v>22205327</v>
      </c>
      <c r="C4074">
        <v>28</v>
      </c>
      <c r="D4074" s="1" t="s">
        <v>593</v>
      </c>
      <c r="E4074">
        <v>10</v>
      </c>
    </row>
    <row r="4075" spans="1:5" x14ac:dyDescent="0.2">
      <c r="A4075">
        <v>10029291</v>
      </c>
      <c r="B4075">
        <v>22205327</v>
      </c>
      <c r="C4075">
        <v>35</v>
      </c>
      <c r="D4075" s="1" t="s">
        <v>983</v>
      </c>
      <c r="E4075">
        <v>10</v>
      </c>
    </row>
    <row r="4076" spans="1:5" x14ac:dyDescent="0.2">
      <c r="A4076">
        <v>10029291</v>
      </c>
      <c r="B4076">
        <v>22205327</v>
      </c>
      <c r="C4076">
        <v>6</v>
      </c>
      <c r="D4076" s="1" t="s">
        <v>753</v>
      </c>
      <c r="E4076">
        <v>10</v>
      </c>
    </row>
    <row r="4077" spans="1:5" x14ac:dyDescent="0.2">
      <c r="A4077">
        <v>10029291</v>
      </c>
      <c r="B4077">
        <v>22205327</v>
      </c>
      <c r="C4077">
        <v>22</v>
      </c>
      <c r="D4077" s="1" t="s">
        <v>621</v>
      </c>
      <c r="E4077">
        <v>10</v>
      </c>
    </row>
    <row r="4078" spans="1:5" x14ac:dyDescent="0.2">
      <c r="A4078">
        <v>10029291</v>
      </c>
      <c r="B4078">
        <v>22205327</v>
      </c>
      <c r="C4078">
        <v>34</v>
      </c>
      <c r="D4078" s="1" t="s">
        <v>1603</v>
      </c>
      <c r="E4078">
        <v>10</v>
      </c>
    </row>
    <row r="4079" spans="1:5" x14ac:dyDescent="0.2">
      <c r="A4079">
        <v>10029291</v>
      </c>
      <c r="B4079">
        <v>22205327</v>
      </c>
      <c r="C4079">
        <v>24</v>
      </c>
      <c r="D4079" s="1" t="s">
        <v>1137</v>
      </c>
      <c r="E4079">
        <v>10</v>
      </c>
    </row>
    <row r="4080" spans="1:5" x14ac:dyDescent="0.2">
      <c r="A4080">
        <v>10029291</v>
      </c>
      <c r="B4080">
        <v>22205327</v>
      </c>
      <c r="C4080">
        <v>7</v>
      </c>
      <c r="D4080" s="1" t="s">
        <v>1604</v>
      </c>
      <c r="E4080">
        <v>10</v>
      </c>
    </row>
    <row r="4081" spans="1:5" x14ac:dyDescent="0.2">
      <c r="A4081">
        <v>10029291</v>
      </c>
      <c r="B4081">
        <v>22205327</v>
      </c>
      <c r="C4081">
        <v>21</v>
      </c>
      <c r="D4081" s="1" t="s">
        <v>1605</v>
      </c>
      <c r="E4081">
        <v>10</v>
      </c>
    </row>
    <row r="4082" spans="1:5" x14ac:dyDescent="0.2">
      <c r="A4082">
        <v>10029291</v>
      </c>
      <c r="B4082">
        <v>22205327</v>
      </c>
      <c r="C4082">
        <v>13</v>
      </c>
      <c r="D4082" s="1" t="s">
        <v>591</v>
      </c>
      <c r="E4082">
        <v>10</v>
      </c>
    </row>
    <row r="4083" spans="1:5" x14ac:dyDescent="0.2">
      <c r="A4083">
        <v>10029291</v>
      </c>
      <c r="B4083">
        <v>22205327</v>
      </c>
      <c r="C4083">
        <v>26</v>
      </c>
      <c r="D4083" s="1" t="s">
        <v>1134</v>
      </c>
      <c r="E4083">
        <v>10</v>
      </c>
    </row>
    <row r="4084" spans="1:5" x14ac:dyDescent="0.2">
      <c r="A4084">
        <v>10029291</v>
      </c>
      <c r="B4084">
        <v>22205327</v>
      </c>
      <c r="C4084">
        <v>37</v>
      </c>
      <c r="D4084" s="1" t="s">
        <v>1606</v>
      </c>
      <c r="E4084">
        <v>10</v>
      </c>
    </row>
    <row r="4085" spans="1:5" x14ac:dyDescent="0.2">
      <c r="A4085">
        <v>10029291</v>
      </c>
      <c r="B4085">
        <v>22205327</v>
      </c>
      <c r="C4085">
        <v>15</v>
      </c>
      <c r="D4085" s="1" t="s">
        <v>1607</v>
      </c>
      <c r="E4085">
        <v>10</v>
      </c>
    </row>
    <row r="4086" spans="1:5" x14ac:dyDescent="0.2">
      <c r="A4086">
        <v>10029291</v>
      </c>
      <c r="B4086">
        <v>22205327</v>
      </c>
      <c r="C4086">
        <v>17</v>
      </c>
      <c r="D4086" s="1" t="s">
        <v>438</v>
      </c>
      <c r="E4086">
        <v>10</v>
      </c>
    </row>
    <row r="4087" spans="1:5" x14ac:dyDescent="0.2">
      <c r="A4087">
        <v>10029291</v>
      </c>
      <c r="B4087">
        <v>22205327</v>
      </c>
      <c r="C4087">
        <v>29</v>
      </c>
      <c r="D4087" s="1" t="s">
        <v>1608</v>
      </c>
      <c r="E4087">
        <v>10</v>
      </c>
    </row>
    <row r="4088" spans="1:5" x14ac:dyDescent="0.2">
      <c r="A4088">
        <v>10029291</v>
      </c>
      <c r="B4088">
        <v>22205327</v>
      </c>
      <c r="C4088">
        <v>38</v>
      </c>
      <c r="D4088" s="1" t="s">
        <v>1609</v>
      </c>
      <c r="E4088">
        <v>10</v>
      </c>
    </row>
    <row r="4089" spans="1:5" x14ac:dyDescent="0.2">
      <c r="A4089">
        <v>10029291</v>
      </c>
      <c r="B4089">
        <v>22205327</v>
      </c>
      <c r="C4089">
        <v>3</v>
      </c>
      <c r="D4089" s="1" t="s">
        <v>742</v>
      </c>
      <c r="E4089">
        <v>10</v>
      </c>
    </row>
    <row r="4090" spans="1:5" x14ac:dyDescent="0.2">
      <c r="A4090">
        <v>10029291</v>
      </c>
      <c r="B4090">
        <v>22205327</v>
      </c>
      <c r="C4090">
        <v>30</v>
      </c>
      <c r="D4090" s="1" t="s">
        <v>1610</v>
      </c>
      <c r="E4090">
        <v>10</v>
      </c>
    </row>
    <row r="4091" spans="1:5" x14ac:dyDescent="0.2">
      <c r="A4091">
        <v>10029291</v>
      </c>
      <c r="B4091">
        <v>22205327</v>
      </c>
      <c r="C4091">
        <v>39</v>
      </c>
      <c r="D4091" s="1" t="s">
        <v>1611</v>
      </c>
      <c r="E4091">
        <v>10</v>
      </c>
    </row>
    <row r="4092" spans="1:5" x14ac:dyDescent="0.2">
      <c r="A4092">
        <v>10029291</v>
      </c>
      <c r="B4092">
        <v>22205327</v>
      </c>
      <c r="C4092">
        <v>5</v>
      </c>
      <c r="D4092" s="1" t="s">
        <v>1521</v>
      </c>
      <c r="E4092">
        <v>10</v>
      </c>
    </row>
    <row r="4093" spans="1:5" x14ac:dyDescent="0.2">
      <c r="A4093">
        <v>10029291</v>
      </c>
      <c r="B4093">
        <v>22205327</v>
      </c>
      <c r="C4093">
        <v>19</v>
      </c>
      <c r="D4093" s="1" t="s">
        <v>914</v>
      </c>
      <c r="E4093">
        <v>10</v>
      </c>
    </row>
    <row r="4094" spans="1:5" x14ac:dyDescent="0.2">
      <c r="A4094">
        <v>10029291</v>
      </c>
      <c r="B4094">
        <v>22205327</v>
      </c>
      <c r="C4094">
        <v>4</v>
      </c>
      <c r="D4094" s="1" t="s">
        <v>765</v>
      </c>
      <c r="E4094">
        <v>10</v>
      </c>
    </row>
    <row r="4095" spans="1:5" x14ac:dyDescent="0.2">
      <c r="A4095">
        <v>10029291</v>
      </c>
      <c r="B4095">
        <v>22205327</v>
      </c>
      <c r="C4095">
        <v>33</v>
      </c>
      <c r="D4095" s="1" t="s">
        <v>1612</v>
      </c>
      <c r="E4095">
        <v>10</v>
      </c>
    </row>
    <row r="4096" spans="1:5" x14ac:dyDescent="0.2">
      <c r="A4096">
        <v>10029291</v>
      </c>
      <c r="B4096">
        <v>22205327</v>
      </c>
      <c r="C4096">
        <v>8</v>
      </c>
      <c r="D4096" s="1" t="s">
        <v>793</v>
      </c>
      <c r="E4096">
        <v>10</v>
      </c>
    </row>
    <row r="4097" spans="1:5" x14ac:dyDescent="0.2">
      <c r="A4097">
        <v>10029291</v>
      </c>
      <c r="B4097">
        <v>22205327</v>
      </c>
      <c r="C4097">
        <v>36</v>
      </c>
      <c r="D4097" s="1" t="s">
        <v>1613</v>
      </c>
      <c r="E4097">
        <v>10</v>
      </c>
    </row>
    <row r="4098" spans="1:5" x14ac:dyDescent="0.2">
      <c r="A4098">
        <v>10029291</v>
      </c>
      <c r="B4098">
        <v>22205327</v>
      </c>
      <c r="C4098">
        <v>12</v>
      </c>
      <c r="D4098" s="1" t="s">
        <v>738</v>
      </c>
      <c r="E4098">
        <v>10</v>
      </c>
    </row>
    <row r="4099" spans="1:5" x14ac:dyDescent="0.2">
      <c r="A4099">
        <v>10029291</v>
      </c>
      <c r="B4099">
        <v>22205327</v>
      </c>
      <c r="C4099">
        <v>2</v>
      </c>
      <c r="D4099" s="1" t="s">
        <v>604</v>
      </c>
      <c r="E4099">
        <v>10</v>
      </c>
    </row>
    <row r="4100" spans="1:5" x14ac:dyDescent="0.2">
      <c r="A4100">
        <v>10029291</v>
      </c>
      <c r="B4100">
        <v>22205327</v>
      </c>
      <c r="C4100">
        <v>1</v>
      </c>
      <c r="D4100" s="1" t="s">
        <v>1614</v>
      </c>
      <c r="E4100">
        <v>10</v>
      </c>
    </row>
    <row r="4101" spans="1:5" x14ac:dyDescent="0.2">
      <c r="A4101">
        <v>10029291</v>
      </c>
      <c r="B4101">
        <v>22205327</v>
      </c>
      <c r="C4101">
        <v>9</v>
      </c>
      <c r="D4101" s="1" t="s">
        <v>996</v>
      </c>
      <c r="E4101">
        <v>10</v>
      </c>
    </row>
    <row r="4102" spans="1:5" x14ac:dyDescent="0.2">
      <c r="A4102">
        <v>10029291</v>
      </c>
      <c r="B4102">
        <v>22205327</v>
      </c>
      <c r="C4102">
        <v>10</v>
      </c>
      <c r="D4102" s="1" t="s">
        <v>991</v>
      </c>
      <c r="E4102">
        <v>10</v>
      </c>
    </row>
    <row r="4103" spans="1:5" x14ac:dyDescent="0.2">
      <c r="A4103">
        <v>10029291</v>
      </c>
      <c r="B4103">
        <v>22205327</v>
      </c>
      <c r="C4103">
        <v>16</v>
      </c>
      <c r="D4103" s="1" t="s">
        <v>1615</v>
      </c>
      <c r="E4103">
        <v>10</v>
      </c>
    </row>
    <row r="4104" spans="1:5" x14ac:dyDescent="0.2">
      <c r="A4104">
        <v>10004720</v>
      </c>
      <c r="B4104">
        <v>22081550</v>
      </c>
      <c r="C4104">
        <v>10</v>
      </c>
      <c r="D4104" s="1" t="s">
        <v>605</v>
      </c>
      <c r="E4104">
        <v>10</v>
      </c>
    </row>
    <row r="4105" spans="1:5" x14ac:dyDescent="0.2">
      <c r="A4105">
        <v>10004720</v>
      </c>
      <c r="B4105">
        <v>22081550</v>
      </c>
      <c r="C4105">
        <v>12</v>
      </c>
      <c r="D4105" s="1" t="s">
        <v>563</v>
      </c>
      <c r="E4105">
        <v>10</v>
      </c>
    </row>
    <row r="4106" spans="1:5" x14ac:dyDescent="0.2">
      <c r="A4106">
        <v>10004720</v>
      </c>
      <c r="B4106">
        <v>22081550</v>
      </c>
      <c r="C4106">
        <v>13</v>
      </c>
      <c r="D4106" s="1" t="s">
        <v>733</v>
      </c>
      <c r="E4106">
        <v>10</v>
      </c>
    </row>
    <row r="4107" spans="1:5" x14ac:dyDescent="0.2">
      <c r="A4107">
        <v>10004720</v>
      </c>
      <c r="B4107">
        <v>22081550</v>
      </c>
      <c r="C4107">
        <v>17</v>
      </c>
      <c r="D4107" s="1" t="s">
        <v>1616</v>
      </c>
      <c r="E4107">
        <v>10</v>
      </c>
    </row>
    <row r="4108" spans="1:5" x14ac:dyDescent="0.2">
      <c r="A4108">
        <v>10004720</v>
      </c>
      <c r="B4108">
        <v>22081550</v>
      </c>
      <c r="C4108">
        <v>21</v>
      </c>
      <c r="D4108" s="1" t="s">
        <v>914</v>
      </c>
      <c r="E4108">
        <v>10</v>
      </c>
    </row>
    <row r="4109" spans="1:5" x14ac:dyDescent="0.2">
      <c r="A4109">
        <v>10004720</v>
      </c>
      <c r="B4109">
        <v>22081550</v>
      </c>
      <c r="C4109">
        <v>26</v>
      </c>
      <c r="D4109" s="1" t="s">
        <v>1617</v>
      </c>
      <c r="E4109">
        <v>10</v>
      </c>
    </row>
    <row r="4110" spans="1:5" x14ac:dyDescent="0.2">
      <c r="A4110">
        <v>10004720</v>
      </c>
      <c r="B4110">
        <v>22081550</v>
      </c>
      <c r="C4110">
        <v>25</v>
      </c>
      <c r="D4110" s="1" t="s">
        <v>1618</v>
      </c>
      <c r="E4110">
        <v>10</v>
      </c>
    </row>
    <row r="4111" spans="1:5" x14ac:dyDescent="0.2">
      <c r="A4111">
        <v>10004720</v>
      </c>
      <c r="B4111">
        <v>22081550</v>
      </c>
      <c r="C4111">
        <v>6</v>
      </c>
      <c r="D4111" s="1" t="s">
        <v>325</v>
      </c>
      <c r="E4111">
        <v>10</v>
      </c>
    </row>
    <row r="4112" spans="1:5" x14ac:dyDescent="0.2">
      <c r="A4112">
        <v>10004720</v>
      </c>
      <c r="B4112">
        <v>22081550</v>
      </c>
      <c r="C4112">
        <v>15</v>
      </c>
      <c r="D4112" s="1" t="s">
        <v>1619</v>
      </c>
      <c r="E4112">
        <v>10</v>
      </c>
    </row>
    <row r="4113" spans="1:5" x14ac:dyDescent="0.2">
      <c r="A4113">
        <v>10004720</v>
      </c>
      <c r="B4113">
        <v>22081550</v>
      </c>
      <c r="C4113">
        <v>11</v>
      </c>
      <c r="D4113" s="1" t="s">
        <v>1134</v>
      </c>
      <c r="E4113">
        <v>10</v>
      </c>
    </row>
    <row r="4114" spans="1:5" x14ac:dyDescent="0.2">
      <c r="A4114">
        <v>10004720</v>
      </c>
      <c r="B4114">
        <v>22081550</v>
      </c>
      <c r="C4114">
        <v>24</v>
      </c>
      <c r="D4114" s="1" t="s">
        <v>1620</v>
      </c>
      <c r="E4114">
        <v>10</v>
      </c>
    </row>
    <row r="4115" spans="1:5" x14ac:dyDescent="0.2">
      <c r="A4115">
        <v>10004720</v>
      </c>
      <c r="B4115">
        <v>22081550</v>
      </c>
      <c r="C4115">
        <v>27</v>
      </c>
      <c r="D4115" s="1" t="s">
        <v>1040</v>
      </c>
      <c r="E4115">
        <v>10</v>
      </c>
    </row>
    <row r="4116" spans="1:5" x14ac:dyDescent="0.2">
      <c r="A4116">
        <v>10004720</v>
      </c>
      <c r="B4116">
        <v>22081550</v>
      </c>
      <c r="C4116">
        <v>4</v>
      </c>
      <c r="D4116" s="1" t="s">
        <v>1621</v>
      </c>
      <c r="E4116">
        <v>10</v>
      </c>
    </row>
    <row r="4117" spans="1:5" x14ac:dyDescent="0.2">
      <c r="A4117">
        <v>10004720</v>
      </c>
      <c r="B4117">
        <v>22081550</v>
      </c>
      <c r="C4117">
        <v>22</v>
      </c>
      <c r="D4117" s="1" t="s">
        <v>1622</v>
      </c>
      <c r="E4117">
        <v>10</v>
      </c>
    </row>
    <row r="4118" spans="1:5" x14ac:dyDescent="0.2">
      <c r="A4118">
        <v>10004720</v>
      </c>
      <c r="B4118">
        <v>22081550</v>
      </c>
      <c r="C4118">
        <v>23</v>
      </c>
      <c r="D4118" s="1" t="s">
        <v>1623</v>
      </c>
      <c r="E4118">
        <v>10</v>
      </c>
    </row>
    <row r="4119" spans="1:5" x14ac:dyDescent="0.2">
      <c r="A4119">
        <v>10004720</v>
      </c>
      <c r="B4119">
        <v>22081550</v>
      </c>
      <c r="C4119">
        <v>1</v>
      </c>
      <c r="D4119" s="1" t="s">
        <v>1186</v>
      </c>
      <c r="E4119">
        <v>10</v>
      </c>
    </row>
    <row r="4120" spans="1:5" x14ac:dyDescent="0.2">
      <c r="A4120">
        <v>10004720</v>
      </c>
      <c r="B4120">
        <v>22081550</v>
      </c>
      <c r="C4120">
        <v>5</v>
      </c>
      <c r="D4120" s="1" t="s">
        <v>1624</v>
      </c>
      <c r="E4120">
        <v>10</v>
      </c>
    </row>
    <row r="4121" spans="1:5" x14ac:dyDescent="0.2">
      <c r="A4121">
        <v>10004720</v>
      </c>
      <c r="B4121">
        <v>22081550</v>
      </c>
      <c r="C4121">
        <v>8</v>
      </c>
      <c r="D4121" s="1" t="s">
        <v>379</v>
      </c>
      <c r="E4121">
        <v>10</v>
      </c>
    </row>
    <row r="4122" spans="1:5" x14ac:dyDescent="0.2">
      <c r="A4122">
        <v>10004720</v>
      </c>
      <c r="B4122">
        <v>22081550</v>
      </c>
      <c r="C4122">
        <v>20</v>
      </c>
      <c r="D4122" s="1" t="s">
        <v>1625</v>
      </c>
      <c r="E4122">
        <v>10</v>
      </c>
    </row>
    <row r="4123" spans="1:5" x14ac:dyDescent="0.2">
      <c r="A4123">
        <v>10004720</v>
      </c>
      <c r="B4123">
        <v>22081550</v>
      </c>
      <c r="C4123">
        <v>29</v>
      </c>
      <c r="D4123" s="1" t="s">
        <v>1626</v>
      </c>
      <c r="E4123">
        <v>10</v>
      </c>
    </row>
    <row r="4124" spans="1:5" x14ac:dyDescent="0.2">
      <c r="A4124">
        <v>10004720</v>
      </c>
      <c r="B4124">
        <v>22081550</v>
      </c>
      <c r="C4124">
        <v>28</v>
      </c>
      <c r="D4124" s="1" t="s">
        <v>380</v>
      </c>
      <c r="E4124">
        <v>10</v>
      </c>
    </row>
    <row r="4125" spans="1:5" x14ac:dyDescent="0.2">
      <c r="A4125">
        <v>10004720</v>
      </c>
      <c r="B4125">
        <v>22081550</v>
      </c>
      <c r="C4125">
        <v>9</v>
      </c>
      <c r="D4125" s="1" t="s">
        <v>613</v>
      </c>
      <c r="E4125">
        <v>10</v>
      </c>
    </row>
    <row r="4126" spans="1:5" x14ac:dyDescent="0.2">
      <c r="A4126">
        <v>10004720</v>
      </c>
      <c r="B4126">
        <v>22081550</v>
      </c>
      <c r="C4126">
        <v>2</v>
      </c>
      <c r="D4126" s="1" t="s">
        <v>1627</v>
      </c>
      <c r="E4126">
        <v>10</v>
      </c>
    </row>
    <row r="4127" spans="1:5" x14ac:dyDescent="0.2">
      <c r="A4127">
        <v>10004720</v>
      </c>
      <c r="B4127">
        <v>22081550</v>
      </c>
      <c r="C4127">
        <v>19</v>
      </c>
      <c r="D4127" s="1" t="s">
        <v>1043</v>
      </c>
      <c r="E4127">
        <v>10</v>
      </c>
    </row>
    <row r="4128" spans="1:5" x14ac:dyDescent="0.2">
      <c r="A4128">
        <v>10004720</v>
      </c>
      <c r="B4128">
        <v>22081550</v>
      </c>
      <c r="C4128">
        <v>16</v>
      </c>
      <c r="D4128" s="1" t="s">
        <v>1628</v>
      </c>
      <c r="E4128">
        <v>10</v>
      </c>
    </row>
    <row r="4129" spans="1:5" x14ac:dyDescent="0.2">
      <c r="A4129">
        <v>10004720</v>
      </c>
      <c r="B4129">
        <v>22081550</v>
      </c>
      <c r="C4129">
        <v>7</v>
      </c>
      <c r="D4129" s="1" t="s">
        <v>609</v>
      </c>
      <c r="E4129">
        <v>10</v>
      </c>
    </row>
    <row r="4130" spans="1:5" x14ac:dyDescent="0.2">
      <c r="A4130">
        <v>10004720</v>
      </c>
      <c r="B4130">
        <v>22081550</v>
      </c>
      <c r="C4130">
        <v>3</v>
      </c>
      <c r="D4130" s="1" t="s">
        <v>1629</v>
      </c>
      <c r="E4130">
        <v>10</v>
      </c>
    </row>
    <row r="4131" spans="1:5" x14ac:dyDescent="0.2">
      <c r="A4131">
        <v>10004720</v>
      </c>
      <c r="B4131">
        <v>22081550</v>
      </c>
      <c r="C4131">
        <v>18</v>
      </c>
      <c r="D4131" s="1" t="s">
        <v>441</v>
      </c>
      <c r="E4131">
        <v>10</v>
      </c>
    </row>
    <row r="4132" spans="1:5" x14ac:dyDescent="0.2">
      <c r="A4132">
        <v>10004720</v>
      </c>
      <c r="B4132">
        <v>22081550</v>
      </c>
      <c r="C4132">
        <v>14</v>
      </c>
      <c r="D4132" s="1" t="s">
        <v>1274</v>
      </c>
      <c r="E4132">
        <v>10</v>
      </c>
    </row>
    <row r="4133" spans="1:5" x14ac:dyDescent="0.2">
      <c r="A4133">
        <v>10002930</v>
      </c>
      <c r="B4133">
        <v>20282368</v>
      </c>
      <c r="C4133">
        <v>3</v>
      </c>
      <c r="D4133" s="1" t="s">
        <v>1630</v>
      </c>
      <c r="E4133">
        <v>10</v>
      </c>
    </row>
    <row r="4134" spans="1:5" x14ac:dyDescent="0.2">
      <c r="A4134">
        <v>10002930</v>
      </c>
      <c r="B4134">
        <v>20282368</v>
      </c>
      <c r="C4134">
        <v>12</v>
      </c>
      <c r="D4134" s="1" t="s">
        <v>309</v>
      </c>
      <c r="E4134">
        <v>10</v>
      </c>
    </row>
    <row r="4135" spans="1:5" x14ac:dyDescent="0.2">
      <c r="A4135">
        <v>10002930</v>
      </c>
      <c r="B4135">
        <v>20282368</v>
      </c>
      <c r="C4135">
        <v>2</v>
      </c>
      <c r="D4135" s="1" t="s">
        <v>1631</v>
      </c>
      <c r="E4135">
        <v>10</v>
      </c>
    </row>
    <row r="4136" spans="1:5" x14ac:dyDescent="0.2">
      <c r="A4136">
        <v>10002930</v>
      </c>
      <c r="B4136">
        <v>20282368</v>
      </c>
      <c r="C4136">
        <v>7</v>
      </c>
      <c r="D4136" s="1" t="s">
        <v>1105</v>
      </c>
      <c r="E4136">
        <v>10</v>
      </c>
    </row>
    <row r="4137" spans="1:5" x14ac:dyDescent="0.2">
      <c r="A4137">
        <v>10002930</v>
      </c>
      <c r="B4137">
        <v>20282368</v>
      </c>
      <c r="C4137">
        <v>1</v>
      </c>
      <c r="D4137" s="1" t="s">
        <v>591</v>
      </c>
      <c r="E4137">
        <v>10</v>
      </c>
    </row>
    <row r="4138" spans="1:5" x14ac:dyDescent="0.2">
      <c r="A4138">
        <v>10002930</v>
      </c>
      <c r="B4138">
        <v>20282368</v>
      </c>
      <c r="C4138">
        <v>6</v>
      </c>
      <c r="D4138" s="1" t="s">
        <v>574</v>
      </c>
      <c r="E4138">
        <v>10</v>
      </c>
    </row>
    <row r="4139" spans="1:5" x14ac:dyDescent="0.2">
      <c r="A4139">
        <v>10002930</v>
      </c>
      <c r="B4139">
        <v>20282368</v>
      </c>
      <c r="C4139">
        <v>10</v>
      </c>
      <c r="D4139" s="1" t="s">
        <v>941</v>
      </c>
      <c r="E4139">
        <v>10</v>
      </c>
    </row>
    <row r="4140" spans="1:5" x14ac:dyDescent="0.2">
      <c r="A4140">
        <v>10002930</v>
      </c>
      <c r="B4140">
        <v>20282368</v>
      </c>
      <c r="C4140">
        <v>5</v>
      </c>
      <c r="D4140" s="1" t="s">
        <v>1632</v>
      </c>
      <c r="E4140">
        <v>10</v>
      </c>
    </row>
    <row r="4141" spans="1:5" x14ac:dyDescent="0.2">
      <c r="A4141">
        <v>10002930</v>
      </c>
      <c r="B4141">
        <v>20282368</v>
      </c>
      <c r="C4141">
        <v>8</v>
      </c>
      <c r="D4141" s="1" t="s">
        <v>868</v>
      </c>
      <c r="E4141">
        <v>10</v>
      </c>
    </row>
    <row r="4142" spans="1:5" x14ac:dyDescent="0.2">
      <c r="A4142">
        <v>10002930</v>
      </c>
      <c r="B4142">
        <v>20282368</v>
      </c>
      <c r="C4142">
        <v>9</v>
      </c>
      <c r="D4142" s="1" t="s">
        <v>1103</v>
      </c>
      <c r="E4142">
        <v>10</v>
      </c>
    </row>
    <row r="4143" spans="1:5" x14ac:dyDescent="0.2">
      <c r="A4143">
        <v>10002930</v>
      </c>
      <c r="B4143">
        <v>20282368</v>
      </c>
      <c r="C4143">
        <v>4</v>
      </c>
      <c r="D4143" s="1" t="s">
        <v>1633</v>
      </c>
      <c r="E4143">
        <v>10</v>
      </c>
    </row>
    <row r="4144" spans="1:5" x14ac:dyDescent="0.2">
      <c r="A4144">
        <v>10002930</v>
      </c>
      <c r="B4144">
        <v>20282368</v>
      </c>
      <c r="C4144">
        <v>11</v>
      </c>
      <c r="D4144" s="1" t="s">
        <v>1634</v>
      </c>
      <c r="E4144">
        <v>10</v>
      </c>
    </row>
    <row r="4145" spans="1:5" x14ac:dyDescent="0.2">
      <c r="A4145">
        <v>10002930</v>
      </c>
      <c r="B4145">
        <v>20846853</v>
      </c>
      <c r="C4145">
        <v>4</v>
      </c>
      <c r="D4145" s="1" t="s">
        <v>1633</v>
      </c>
      <c r="E4145">
        <v>10</v>
      </c>
    </row>
    <row r="4146" spans="1:5" x14ac:dyDescent="0.2">
      <c r="A4146">
        <v>10002930</v>
      </c>
      <c r="B4146">
        <v>20846853</v>
      </c>
      <c r="C4146">
        <v>1</v>
      </c>
      <c r="D4146" s="1" t="s">
        <v>1635</v>
      </c>
      <c r="E4146">
        <v>10</v>
      </c>
    </row>
    <row r="4147" spans="1:5" x14ac:dyDescent="0.2">
      <c r="A4147">
        <v>10002930</v>
      </c>
      <c r="B4147">
        <v>20846853</v>
      </c>
      <c r="C4147">
        <v>2</v>
      </c>
      <c r="D4147" s="1" t="s">
        <v>1578</v>
      </c>
      <c r="E4147">
        <v>10</v>
      </c>
    </row>
    <row r="4148" spans="1:5" x14ac:dyDescent="0.2">
      <c r="A4148">
        <v>10002930</v>
      </c>
      <c r="B4148">
        <v>20846853</v>
      </c>
      <c r="C4148">
        <v>5</v>
      </c>
      <c r="D4148" s="1" t="s">
        <v>941</v>
      </c>
      <c r="E4148">
        <v>10</v>
      </c>
    </row>
    <row r="4149" spans="1:5" x14ac:dyDescent="0.2">
      <c r="A4149">
        <v>10002930</v>
      </c>
      <c r="B4149">
        <v>20846853</v>
      </c>
      <c r="C4149">
        <v>3</v>
      </c>
      <c r="D4149" s="1" t="s">
        <v>1636</v>
      </c>
      <c r="E4149">
        <v>10</v>
      </c>
    </row>
    <row r="4150" spans="1:5" x14ac:dyDescent="0.2">
      <c r="A4150">
        <v>10002930</v>
      </c>
      <c r="B4150">
        <v>22380825</v>
      </c>
      <c r="C4150">
        <v>4</v>
      </c>
      <c r="D4150" s="1" t="s">
        <v>1637</v>
      </c>
      <c r="E4150">
        <v>9</v>
      </c>
    </row>
    <row r="4151" spans="1:5" x14ac:dyDescent="0.2">
      <c r="A4151">
        <v>10002930</v>
      </c>
      <c r="B4151">
        <v>22380825</v>
      </c>
      <c r="C4151">
        <v>3</v>
      </c>
      <c r="D4151" s="1" t="s">
        <v>1638</v>
      </c>
      <c r="E4151">
        <v>9</v>
      </c>
    </row>
    <row r="4152" spans="1:5" x14ac:dyDescent="0.2">
      <c r="A4152">
        <v>10002930</v>
      </c>
      <c r="B4152">
        <v>22380825</v>
      </c>
      <c r="C4152">
        <v>1</v>
      </c>
      <c r="D4152" s="1" t="s">
        <v>406</v>
      </c>
      <c r="E4152">
        <v>9</v>
      </c>
    </row>
    <row r="4153" spans="1:5" x14ac:dyDescent="0.2">
      <c r="A4153">
        <v>10002930</v>
      </c>
      <c r="B4153">
        <v>22380825</v>
      </c>
      <c r="C4153">
        <v>8</v>
      </c>
      <c r="D4153" s="1" t="s">
        <v>1639</v>
      </c>
      <c r="E4153">
        <v>9</v>
      </c>
    </row>
    <row r="4154" spans="1:5" x14ac:dyDescent="0.2">
      <c r="A4154">
        <v>10002930</v>
      </c>
      <c r="B4154">
        <v>22380825</v>
      </c>
      <c r="C4154">
        <v>2</v>
      </c>
      <c r="D4154" s="1" t="s">
        <v>1226</v>
      </c>
      <c r="E4154">
        <v>9</v>
      </c>
    </row>
    <row r="4155" spans="1:5" x14ac:dyDescent="0.2">
      <c r="A4155">
        <v>10002930</v>
      </c>
      <c r="B4155">
        <v>22380825</v>
      </c>
      <c r="C4155">
        <v>7</v>
      </c>
      <c r="D4155" s="1" t="s">
        <v>366</v>
      </c>
      <c r="E4155">
        <v>9</v>
      </c>
    </row>
    <row r="4156" spans="1:5" x14ac:dyDescent="0.2">
      <c r="A4156">
        <v>10002930</v>
      </c>
      <c r="B4156">
        <v>22380825</v>
      </c>
      <c r="C4156">
        <v>6</v>
      </c>
      <c r="D4156" s="1" t="s">
        <v>1640</v>
      </c>
      <c r="E4156">
        <v>9</v>
      </c>
    </row>
    <row r="4157" spans="1:5" x14ac:dyDescent="0.2">
      <c r="A4157">
        <v>10002930</v>
      </c>
      <c r="B4157">
        <v>22380825</v>
      </c>
      <c r="C4157">
        <v>5</v>
      </c>
      <c r="D4157" s="1" t="s">
        <v>1641</v>
      </c>
      <c r="E4157">
        <v>9</v>
      </c>
    </row>
    <row r="4158" spans="1:5" x14ac:dyDescent="0.2">
      <c r="A4158">
        <v>10002930</v>
      </c>
      <c r="B4158">
        <v>23688993</v>
      </c>
      <c r="C4158">
        <v>2</v>
      </c>
      <c r="D4158" s="1" t="s">
        <v>1642</v>
      </c>
      <c r="E4158">
        <v>9</v>
      </c>
    </row>
    <row r="4159" spans="1:5" x14ac:dyDescent="0.2">
      <c r="A4159">
        <v>10002930</v>
      </c>
      <c r="B4159">
        <v>23688993</v>
      </c>
      <c r="C4159">
        <v>4</v>
      </c>
      <c r="D4159" s="1" t="s">
        <v>1639</v>
      </c>
      <c r="E4159">
        <v>9</v>
      </c>
    </row>
    <row r="4160" spans="1:5" x14ac:dyDescent="0.2">
      <c r="A4160">
        <v>10002930</v>
      </c>
      <c r="B4160">
        <v>23688993</v>
      </c>
      <c r="C4160">
        <v>1</v>
      </c>
      <c r="D4160" s="1" t="s">
        <v>406</v>
      </c>
      <c r="E4160">
        <v>9</v>
      </c>
    </row>
    <row r="4161" spans="1:5" x14ac:dyDescent="0.2">
      <c r="A4161">
        <v>10002930</v>
      </c>
      <c r="B4161">
        <v>23688993</v>
      </c>
      <c r="C4161">
        <v>5</v>
      </c>
      <c r="D4161" s="1" t="s">
        <v>366</v>
      </c>
      <c r="E4161">
        <v>9</v>
      </c>
    </row>
    <row r="4162" spans="1:5" x14ac:dyDescent="0.2">
      <c r="A4162">
        <v>10002930</v>
      </c>
      <c r="B4162">
        <v>23688993</v>
      </c>
      <c r="C4162">
        <v>3</v>
      </c>
      <c r="D4162" s="1" t="s">
        <v>1226</v>
      </c>
      <c r="E4162">
        <v>9</v>
      </c>
    </row>
    <row r="4163" spans="1:5" x14ac:dyDescent="0.2">
      <c r="A4163">
        <v>10002930</v>
      </c>
      <c r="B4163">
        <v>25282382</v>
      </c>
      <c r="C4163">
        <v>11</v>
      </c>
      <c r="D4163" s="1" t="s">
        <v>1637</v>
      </c>
      <c r="E4163">
        <v>9</v>
      </c>
    </row>
    <row r="4164" spans="1:5" x14ac:dyDescent="0.2">
      <c r="A4164">
        <v>10002930</v>
      </c>
      <c r="B4164">
        <v>25282382</v>
      </c>
      <c r="C4164">
        <v>6</v>
      </c>
      <c r="D4164" s="1" t="s">
        <v>661</v>
      </c>
      <c r="E4164">
        <v>9</v>
      </c>
    </row>
    <row r="4165" spans="1:5" x14ac:dyDescent="0.2">
      <c r="A4165">
        <v>10002930</v>
      </c>
      <c r="B4165">
        <v>25282382</v>
      </c>
      <c r="C4165">
        <v>1</v>
      </c>
      <c r="D4165" s="1" t="s">
        <v>1642</v>
      </c>
      <c r="E4165">
        <v>9</v>
      </c>
    </row>
    <row r="4166" spans="1:5" x14ac:dyDescent="0.2">
      <c r="A4166">
        <v>10002930</v>
      </c>
      <c r="B4166">
        <v>25282382</v>
      </c>
      <c r="C4166">
        <v>7</v>
      </c>
      <c r="D4166" s="1" t="s">
        <v>1640</v>
      </c>
      <c r="E4166">
        <v>9</v>
      </c>
    </row>
    <row r="4167" spans="1:5" x14ac:dyDescent="0.2">
      <c r="A4167">
        <v>10002930</v>
      </c>
      <c r="B4167">
        <v>25282382</v>
      </c>
      <c r="C4167">
        <v>2</v>
      </c>
      <c r="D4167" s="1" t="s">
        <v>406</v>
      </c>
      <c r="E4167">
        <v>9</v>
      </c>
    </row>
    <row r="4168" spans="1:5" x14ac:dyDescent="0.2">
      <c r="A4168">
        <v>10002930</v>
      </c>
      <c r="B4168">
        <v>25282382</v>
      </c>
      <c r="C4168">
        <v>12</v>
      </c>
      <c r="D4168" s="1" t="s">
        <v>366</v>
      </c>
      <c r="E4168">
        <v>9</v>
      </c>
    </row>
    <row r="4169" spans="1:5" x14ac:dyDescent="0.2">
      <c r="A4169">
        <v>10002930</v>
      </c>
      <c r="B4169">
        <v>25282382</v>
      </c>
      <c r="C4169">
        <v>4</v>
      </c>
      <c r="D4169" s="1" t="s">
        <v>1643</v>
      </c>
      <c r="E4169">
        <v>9</v>
      </c>
    </row>
    <row r="4170" spans="1:5" x14ac:dyDescent="0.2">
      <c r="A4170">
        <v>10002930</v>
      </c>
      <c r="B4170">
        <v>25282382</v>
      </c>
      <c r="C4170">
        <v>8</v>
      </c>
      <c r="D4170" s="1" t="s">
        <v>1644</v>
      </c>
      <c r="E4170">
        <v>9</v>
      </c>
    </row>
    <row r="4171" spans="1:5" x14ac:dyDescent="0.2">
      <c r="A4171">
        <v>10002930</v>
      </c>
      <c r="B4171">
        <v>25282382</v>
      </c>
      <c r="C4171">
        <v>3</v>
      </c>
      <c r="D4171" s="1" t="s">
        <v>1645</v>
      </c>
      <c r="E4171">
        <v>9</v>
      </c>
    </row>
    <row r="4172" spans="1:5" x14ac:dyDescent="0.2">
      <c r="A4172">
        <v>10002930</v>
      </c>
      <c r="B4172">
        <v>25282382</v>
      </c>
      <c r="C4172">
        <v>5</v>
      </c>
      <c r="D4172" s="1" t="s">
        <v>1226</v>
      </c>
      <c r="E4172">
        <v>9</v>
      </c>
    </row>
    <row r="4173" spans="1:5" x14ac:dyDescent="0.2">
      <c r="A4173">
        <v>10002930</v>
      </c>
      <c r="B4173">
        <v>25282382</v>
      </c>
      <c r="C4173">
        <v>10</v>
      </c>
      <c r="D4173" s="1" t="s">
        <v>308</v>
      </c>
      <c r="E4173">
        <v>9</v>
      </c>
    </row>
    <row r="4174" spans="1:5" x14ac:dyDescent="0.2">
      <c r="A4174">
        <v>10002930</v>
      </c>
      <c r="B4174">
        <v>25282382</v>
      </c>
      <c r="C4174">
        <v>9</v>
      </c>
      <c r="D4174" s="1" t="s">
        <v>728</v>
      </c>
      <c r="E4174">
        <v>9</v>
      </c>
    </row>
    <row r="4175" spans="1:5" x14ac:dyDescent="0.2">
      <c r="A4175">
        <v>10002930</v>
      </c>
      <c r="B4175">
        <v>22733922</v>
      </c>
      <c r="C4175">
        <v>2</v>
      </c>
      <c r="D4175" s="1" t="s">
        <v>1633</v>
      </c>
      <c r="E4175">
        <v>10</v>
      </c>
    </row>
    <row r="4176" spans="1:5" x14ac:dyDescent="0.2">
      <c r="A4176">
        <v>10002930</v>
      </c>
      <c r="B4176">
        <v>22733922</v>
      </c>
      <c r="C4176">
        <v>7</v>
      </c>
      <c r="D4176" s="1" t="s">
        <v>941</v>
      </c>
      <c r="E4176">
        <v>10</v>
      </c>
    </row>
    <row r="4177" spans="1:5" x14ac:dyDescent="0.2">
      <c r="A4177">
        <v>10002930</v>
      </c>
      <c r="B4177">
        <v>22733922</v>
      </c>
      <c r="C4177">
        <v>4</v>
      </c>
      <c r="D4177" s="1" t="s">
        <v>1646</v>
      </c>
      <c r="E4177">
        <v>10</v>
      </c>
    </row>
    <row r="4178" spans="1:5" x14ac:dyDescent="0.2">
      <c r="A4178">
        <v>10002930</v>
      </c>
      <c r="B4178">
        <v>22733922</v>
      </c>
      <c r="C4178">
        <v>8</v>
      </c>
      <c r="D4178" s="1" t="s">
        <v>430</v>
      </c>
      <c r="E4178">
        <v>10</v>
      </c>
    </row>
    <row r="4179" spans="1:5" x14ac:dyDescent="0.2">
      <c r="A4179">
        <v>10002930</v>
      </c>
      <c r="B4179">
        <v>22733922</v>
      </c>
      <c r="C4179">
        <v>6</v>
      </c>
      <c r="D4179" s="1" t="s">
        <v>1647</v>
      </c>
      <c r="E4179">
        <v>10</v>
      </c>
    </row>
    <row r="4180" spans="1:5" x14ac:dyDescent="0.2">
      <c r="A4180">
        <v>10002930</v>
      </c>
      <c r="B4180">
        <v>22733922</v>
      </c>
      <c r="C4180">
        <v>3</v>
      </c>
      <c r="D4180" s="1" t="s">
        <v>1648</v>
      </c>
      <c r="E4180">
        <v>10</v>
      </c>
    </row>
    <row r="4181" spans="1:5" x14ac:dyDescent="0.2">
      <c r="A4181">
        <v>10002930</v>
      </c>
      <c r="B4181">
        <v>22733922</v>
      </c>
      <c r="C4181">
        <v>5</v>
      </c>
      <c r="D4181" s="1" t="s">
        <v>1619</v>
      </c>
      <c r="E4181">
        <v>10</v>
      </c>
    </row>
    <row r="4182" spans="1:5" x14ac:dyDescent="0.2">
      <c r="A4182">
        <v>10002930</v>
      </c>
      <c r="B4182">
        <v>22733922</v>
      </c>
      <c r="C4182">
        <v>1</v>
      </c>
      <c r="D4182" s="1" t="s">
        <v>1649</v>
      </c>
      <c r="E4182">
        <v>10</v>
      </c>
    </row>
    <row r="4183" spans="1:5" x14ac:dyDescent="0.2">
      <c r="A4183">
        <v>10002930</v>
      </c>
      <c r="B4183">
        <v>28301173</v>
      </c>
      <c r="C4183">
        <v>2</v>
      </c>
      <c r="D4183" s="1" t="s">
        <v>1642</v>
      </c>
      <c r="E4183">
        <v>9</v>
      </c>
    </row>
    <row r="4184" spans="1:5" x14ac:dyDescent="0.2">
      <c r="A4184">
        <v>10002930</v>
      </c>
      <c r="B4184">
        <v>28301173</v>
      </c>
      <c r="C4184">
        <v>4</v>
      </c>
      <c r="D4184" s="1" t="s">
        <v>661</v>
      </c>
      <c r="E4184">
        <v>9</v>
      </c>
    </row>
    <row r="4185" spans="1:5" x14ac:dyDescent="0.2">
      <c r="A4185">
        <v>10002930</v>
      </c>
      <c r="B4185">
        <v>28301173</v>
      </c>
      <c r="C4185">
        <v>6</v>
      </c>
      <c r="D4185" s="1" t="s">
        <v>1640</v>
      </c>
      <c r="E4185">
        <v>9</v>
      </c>
    </row>
    <row r="4186" spans="1:5" x14ac:dyDescent="0.2">
      <c r="A4186">
        <v>10002930</v>
      </c>
      <c r="B4186">
        <v>28301173</v>
      </c>
      <c r="C4186">
        <v>9</v>
      </c>
      <c r="D4186" s="1" t="s">
        <v>1639</v>
      </c>
      <c r="E4186">
        <v>9</v>
      </c>
    </row>
    <row r="4187" spans="1:5" x14ac:dyDescent="0.2">
      <c r="A4187">
        <v>10002930</v>
      </c>
      <c r="B4187">
        <v>28301173</v>
      </c>
      <c r="C4187">
        <v>8</v>
      </c>
      <c r="D4187" s="1" t="s">
        <v>366</v>
      </c>
      <c r="E4187">
        <v>9</v>
      </c>
    </row>
    <row r="4188" spans="1:5" x14ac:dyDescent="0.2">
      <c r="A4188">
        <v>10002930</v>
      </c>
      <c r="B4188">
        <v>28301173</v>
      </c>
      <c r="C4188">
        <v>5</v>
      </c>
      <c r="D4188" s="1" t="s">
        <v>1226</v>
      </c>
      <c r="E4188">
        <v>9</v>
      </c>
    </row>
    <row r="4189" spans="1:5" x14ac:dyDescent="0.2">
      <c r="A4189">
        <v>10002930</v>
      </c>
      <c r="B4189">
        <v>28301173</v>
      </c>
      <c r="C4189">
        <v>3</v>
      </c>
      <c r="D4189" s="1" t="s">
        <v>1650</v>
      </c>
      <c r="E4189">
        <v>9</v>
      </c>
    </row>
    <row r="4190" spans="1:5" x14ac:dyDescent="0.2">
      <c r="A4190">
        <v>10002930</v>
      </c>
      <c r="B4190">
        <v>28301173</v>
      </c>
      <c r="C4190">
        <v>7</v>
      </c>
      <c r="D4190" s="1" t="s">
        <v>1651</v>
      </c>
      <c r="E4190">
        <v>9</v>
      </c>
    </row>
    <row r="4191" spans="1:5" x14ac:dyDescent="0.2">
      <c r="A4191">
        <v>10002930</v>
      </c>
      <c r="B4191">
        <v>28301173</v>
      </c>
      <c r="C4191">
        <v>1</v>
      </c>
      <c r="D4191" s="1" t="s">
        <v>1652</v>
      </c>
      <c r="E4191">
        <v>9</v>
      </c>
    </row>
    <row r="4192" spans="1:5" x14ac:dyDescent="0.2">
      <c r="A4192">
        <v>10002930</v>
      </c>
      <c r="B4192">
        <v>28301173</v>
      </c>
      <c r="C4192">
        <v>10</v>
      </c>
      <c r="D4192" s="1" t="s">
        <v>1653</v>
      </c>
      <c r="E4192">
        <v>9</v>
      </c>
    </row>
    <row r="4193" spans="1:5" x14ac:dyDescent="0.2">
      <c r="A4193">
        <v>10002930</v>
      </c>
      <c r="B4193">
        <v>25696644</v>
      </c>
      <c r="C4193">
        <v>9</v>
      </c>
      <c r="D4193" s="1" t="s">
        <v>366</v>
      </c>
      <c r="E4193">
        <v>9</v>
      </c>
    </row>
    <row r="4194" spans="1:5" x14ac:dyDescent="0.2">
      <c r="A4194">
        <v>10002930</v>
      </c>
      <c r="B4194">
        <v>25696644</v>
      </c>
      <c r="C4194">
        <v>10</v>
      </c>
      <c r="D4194" s="1" t="s">
        <v>1643</v>
      </c>
      <c r="E4194">
        <v>9</v>
      </c>
    </row>
    <row r="4195" spans="1:5" x14ac:dyDescent="0.2">
      <c r="A4195">
        <v>10002930</v>
      </c>
      <c r="B4195">
        <v>25696644</v>
      </c>
      <c r="C4195">
        <v>8</v>
      </c>
      <c r="D4195" s="1" t="s">
        <v>1645</v>
      </c>
      <c r="E4195">
        <v>9</v>
      </c>
    </row>
    <row r="4196" spans="1:5" x14ac:dyDescent="0.2">
      <c r="A4196">
        <v>10002930</v>
      </c>
      <c r="B4196">
        <v>25696644</v>
      </c>
      <c r="C4196">
        <v>5</v>
      </c>
      <c r="D4196" s="1" t="s">
        <v>1254</v>
      </c>
      <c r="E4196">
        <v>9</v>
      </c>
    </row>
    <row r="4197" spans="1:5" x14ac:dyDescent="0.2">
      <c r="A4197">
        <v>10002930</v>
      </c>
      <c r="B4197">
        <v>25696644</v>
      </c>
      <c r="C4197">
        <v>11</v>
      </c>
      <c r="D4197" s="1" t="s">
        <v>919</v>
      </c>
      <c r="E4197">
        <v>9</v>
      </c>
    </row>
    <row r="4198" spans="1:5" x14ac:dyDescent="0.2">
      <c r="A4198">
        <v>10002930</v>
      </c>
      <c r="B4198">
        <v>25696644</v>
      </c>
      <c r="C4198">
        <v>6</v>
      </c>
      <c r="D4198" s="1" t="s">
        <v>1640</v>
      </c>
      <c r="E4198">
        <v>9</v>
      </c>
    </row>
    <row r="4199" spans="1:5" x14ac:dyDescent="0.2">
      <c r="A4199">
        <v>10002930</v>
      </c>
      <c r="B4199">
        <v>25696644</v>
      </c>
      <c r="C4199">
        <v>2</v>
      </c>
      <c r="D4199" s="1" t="s">
        <v>1642</v>
      </c>
      <c r="E4199">
        <v>9</v>
      </c>
    </row>
    <row r="4200" spans="1:5" x14ac:dyDescent="0.2">
      <c r="A4200">
        <v>10002930</v>
      </c>
      <c r="B4200">
        <v>25696644</v>
      </c>
      <c r="C4200">
        <v>12</v>
      </c>
      <c r="D4200" s="1" t="s">
        <v>1654</v>
      </c>
      <c r="E4200">
        <v>9</v>
      </c>
    </row>
    <row r="4201" spans="1:5" x14ac:dyDescent="0.2">
      <c r="A4201">
        <v>10002930</v>
      </c>
      <c r="B4201">
        <v>25696644</v>
      </c>
      <c r="C4201">
        <v>7</v>
      </c>
      <c r="D4201" s="1" t="s">
        <v>406</v>
      </c>
      <c r="E4201">
        <v>9</v>
      </c>
    </row>
    <row r="4202" spans="1:5" x14ac:dyDescent="0.2">
      <c r="A4202">
        <v>10002930</v>
      </c>
      <c r="B4202">
        <v>25696644</v>
      </c>
      <c r="C4202">
        <v>4</v>
      </c>
      <c r="D4202" s="1" t="s">
        <v>1226</v>
      </c>
      <c r="E4202">
        <v>9</v>
      </c>
    </row>
    <row r="4203" spans="1:5" x14ac:dyDescent="0.2">
      <c r="A4203">
        <v>10002930</v>
      </c>
      <c r="B4203">
        <v>25696644</v>
      </c>
      <c r="C4203">
        <v>3</v>
      </c>
      <c r="D4203" s="1" t="s">
        <v>410</v>
      </c>
      <c r="E4203">
        <v>9</v>
      </c>
    </row>
    <row r="4204" spans="1:5" x14ac:dyDescent="0.2">
      <c r="A4204">
        <v>10002930</v>
      </c>
      <c r="B4204">
        <v>25696644</v>
      </c>
      <c r="C4204">
        <v>1</v>
      </c>
      <c r="D4204" s="1" t="s">
        <v>1655</v>
      </c>
      <c r="E4204">
        <v>9</v>
      </c>
    </row>
    <row r="4205" spans="1:5" x14ac:dyDescent="0.2">
      <c r="A4205">
        <v>10002930</v>
      </c>
      <c r="B4205">
        <v>23720373</v>
      </c>
      <c r="C4205">
        <v>6</v>
      </c>
      <c r="D4205" s="1" t="s">
        <v>591</v>
      </c>
      <c r="E4205">
        <v>10</v>
      </c>
    </row>
    <row r="4206" spans="1:5" x14ac:dyDescent="0.2">
      <c r="A4206">
        <v>10002930</v>
      </c>
      <c r="B4206">
        <v>23720373</v>
      </c>
      <c r="C4206">
        <v>2</v>
      </c>
      <c r="D4206" s="1" t="s">
        <v>1634</v>
      </c>
      <c r="E4206">
        <v>10</v>
      </c>
    </row>
    <row r="4207" spans="1:5" x14ac:dyDescent="0.2">
      <c r="A4207">
        <v>10002930</v>
      </c>
      <c r="B4207">
        <v>23720373</v>
      </c>
      <c r="C4207">
        <v>4</v>
      </c>
      <c r="D4207" s="1" t="s">
        <v>617</v>
      </c>
      <c r="E4207">
        <v>10</v>
      </c>
    </row>
    <row r="4208" spans="1:5" x14ac:dyDescent="0.2">
      <c r="A4208">
        <v>10002930</v>
      </c>
      <c r="B4208">
        <v>23720373</v>
      </c>
      <c r="C4208">
        <v>12</v>
      </c>
      <c r="D4208" s="1" t="s">
        <v>1103</v>
      </c>
      <c r="E4208">
        <v>10</v>
      </c>
    </row>
    <row r="4209" spans="1:5" x14ac:dyDescent="0.2">
      <c r="A4209">
        <v>10002930</v>
      </c>
      <c r="B4209">
        <v>23720373</v>
      </c>
      <c r="C4209">
        <v>5</v>
      </c>
      <c r="D4209" s="1" t="s">
        <v>313</v>
      </c>
      <c r="E4209">
        <v>10</v>
      </c>
    </row>
    <row r="4210" spans="1:5" x14ac:dyDescent="0.2">
      <c r="A4210">
        <v>10002930</v>
      </c>
      <c r="B4210">
        <v>23720373</v>
      </c>
      <c r="C4210">
        <v>1</v>
      </c>
      <c r="D4210" s="1" t="s">
        <v>1656</v>
      </c>
      <c r="E4210">
        <v>10</v>
      </c>
    </row>
    <row r="4211" spans="1:5" x14ac:dyDescent="0.2">
      <c r="A4211">
        <v>10002930</v>
      </c>
      <c r="B4211">
        <v>23720373</v>
      </c>
      <c r="C4211">
        <v>11</v>
      </c>
      <c r="D4211" s="1" t="s">
        <v>868</v>
      </c>
      <c r="E4211">
        <v>10</v>
      </c>
    </row>
    <row r="4212" spans="1:5" x14ac:dyDescent="0.2">
      <c r="A4212">
        <v>10002930</v>
      </c>
      <c r="B4212">
        <v>23720373</v>
      </c>
      <c r="C4212">
        <v>3</v>
      </c>
      <c r="D4212" s="1" t="s">
        <v>1657</v>
      </c>
      <c r="E4212">
        <v>10</v>
      </c>
    </row>
    <row r="4213" spans="1:5" x14ac:dyDescent="0.2">
      <c r="A4213">
        <v>10002930</v>
      </c>
      <c r="B4213">
        <v>23720373</v>
      </c>
      <c r="C4213">
        <v>8</v>
      </c>
      <c r="D4213" s="1" t="s">
        <v>1647</v>
      </c>
      <c r="E4213">
        <v>10</v>
      </c>
    </row>
    <row r="4214" spans="1:5" x14ac:dyDescent="0.2">
      <c r="A4214">
        <v>10002930</v>
      </c>
      <c r="B4214">
        <v>23720373</v>
      </c>
      <c r="C4214">
        <v>7</v>
      </c>
      <c r="D4214" s="1" t="s">
        <v>476</v>
      </c>
      <c r="E4214">
        <v>10</v>
      </c>
    </row>
    <row r="4215" spans="1:5" x14ac:dyDescent="0.2">
      <c r="A4215">
        <v>10002930</v>
      </c>
      <c r="B4215">
        <v>23720373</v>
      </c>
      <c r="C4215">
        <v>9</v>
      </c>
      <c r="D4215" s="1" t="s">
        <v>594</v>
      </c>
      <c r="E4215">
        <v>10</v>
      </c>
    </row>
    <row r="4216" spans="1:5" x14ac:dyDescent="0.2">
      <c r="A4216">
        <v>10002930</v>
      </c>
      <c r="B4216">
        <v>23720373</v>
      </c>
      <c r="C4216">
        <v>10</v>
      </c>
      <c r="D4216" s="1" t="s">
        <v>1658</v>
      </c>
      <c r="E4216">
        <v>10</v>
      </c>
    </row>
    <row r="4217" spans="1:5" x14ac:dyDescent="0.2">
      <c r="A4217">
        <v>10002930</v>
      </c>
      <c r="B4217">
        <v>25922998</v>
      </c>
      <c r="C4217">
        <v>1</v>
      </c>
      <c r="D4217" s="1" t="s">
        <v>590</v>
      </c>
      <c r="E4217">
        <v>10</v>
      </c>
    </row>
    <row r="4218" spans="1:5" x14ac:dyDescent="0.2">
      <c r="A4218">
        <v>10002930</v>
      </c>
      <c r="B4218">
        <v>25922998</v>
      </c>
      <c r="C4218">
        <v>2</v>
      </c>
      <c r="D4218" s="1" t="s">
        <v>1659</v>
      </c>
      <c r="E4218">
        <v>10</v>
      </c>
    </row>
    <row r="4219" spans="1:5" x14ac:dyDescent="0.2">
      <c r="A4219">
        <v>10002930</v>
      </c>
      <c r="B4219">
        <v>25922998</v>
      </c>
      <c r="C4219">
        <v>3</v>
      </c>
      <c r="D4219" s="1" t="s">
        <v>1631</v>
      </c>
      <c r="E4219">
        <v>10</v>
      </c>
    </row>
    <row r="4220" spans="1:5" x14ac:dyDescent="0.2">
      <c r="A4220">
        <v>10002930</v>
      </c>
      <c r="B4220">
        <v>25922998</v>
      </c>
      <c r="C4220">
        <v>13</v>
      </c>
      <c r="D4220" s="1" t="s">
        <v>1410</v>
      </c>
      <c r="E4220">
        <v>10</v>
      </c>
    </row>
    <row r="4221" spans="1:5" x14ac:dyDescent="0.2">
      <c r="A4221">
        <v>10002930</v>
      </c>
      <c r="B4221">
        <v>25922998</v>
      </c>
      <c r="C4221">
        <v>8</v>
      </c>
      <c r="D4221" s="1" t="s">
        <v>1660</v>
      </c>
      <c r="E4221">
        <v>10</v>
      </c>
    </row>
    <row r="4222" spans="1:5" x14ac:dyDescent="0.2">
      <c r="A4222">
        <v>10002930</v>
      </c>
      <c r="B4222">
        <v>25922998</v>
      </c>
      <c r="C4222">
        <v>10</v>
      </c>
      <c r="D4222" s="1" t="s">
        <v>1656</v>
      </c>
      <c r="E4222">
        <v>10</v>
      </c>
    </row>
    <row r="4223" spans="1:5" x14ac:dyDescent="0.2">
      <c r="A4223">
        <v>10002930</v>
      </c>
      <c r="B4223">
        <v>25922998</v>
      </c>
      <c r="C4223">
        <v>9</v>
      </c>
      <c r="D4223" s="1" t="s">
        <v>1126</v>
      </c>
      <c r="E4223">
        <v>10</v>
      </c>
    </row>
    <row r="4224" spans="1:5" x14ac:dyDescent="0.2">
      <c r="A4224">
        <v>10002930</v>
      </c>
      <c r="B4224">
        <v>25922998</v>
      </c>
      <c r="C4224">
        <v>6</v>
      </c>
      <c r="D4224" s="1" t="s">
        <v>522</v>
      </c>
      <c r="E4224">
        <v>10</v>
      </c>
    </row>
    <row r="4225" spans="1:5" x14ac:dyDescent="0.2">
      <c r="A4225">
        <v>10002930</v>
      </c>
      <c r="B4225">
        <v>25922998</v>
      </c>
      <c r="C4225">
        <v>12</v>
      </c>
      <c r="D4225" s="1" t="s">
        <v>1632</v>
      </c>
      <c r="E4225">
        <v>10</v>
      </c>
    </row>
    <row r="4226" spans="1:5" x14ac:dyDescent="0.2">
      <c r="A4226">
        <v>10002930</v>
      </c>
      <c r="B4226">
        <v>25922998</v>
      </c>
      <c r="C4226">
        <v>5</v>
      </c>
      <c r="D4226" s="1" t="s">
        <v>941</v>
      </c>
      <c r="E4226">
        <v>10</v>
      </c>
    </row>
    <row r="4227" spans="1:5" x14ac:dyDescent="0.2">
      <c r="A4227">
        <v>10002930</v>
      </c>
      <c r="B4227">
        <v>25922998</v>
      </c>
      <c r="C4227">
        <v>11</v>
      </c>
      <c r="D4227" s="1" t="s">
        <v>1658</v>
      </c>
      <c r="E4227">
        <v>10</v>
      </c>
    </row>
    <row r="4228" spans="1:5" x14ac:dyDescent="0.2">
      <c r="A4228">
        <v>10002930</v>
      </c>
      <c r="B4228">
        <v>25922998</v>
      </c>
      <c r="C4228">
        <v>4</v>
      </c>
      <c r="D4228" s="1" t="s">
        <v>1647</v>
      </c>
      <c r="E4228">
        <v>10</v>
      </c>
    </row>
    <row r="4229" spans="1:5" x14ac:dyDescent="0.2">
      <c r="A4229">
        <v>10002930</v>
      </c>
      <c r="B4229">
        <v>25922998</v>
      </c>
      <c r="C4229">
        <v>7</v>
      </c>
      <c r="D4229" s="1" t="s">
        <v>594</v>
      </c>
      <c r="E4229">
        <v>10</v>
      </c>
    </row>
    <row r="4230" spans="1:5" x14ac:dyDescent="0.2">
      <c r="A4230">
        <v>10002930</v>
      </c>
      <c r="B4230">
        <v>28697806</v>
      </c>
      <c r="C4230">
        <v>1</v>
      </c>
      <c r="D4230" s="1" t="s">
        <v>1636</v>
      </c>
      <c r="E4230">
        <v>10</v>
      </c>
    </row>
    <row r="4231" spans="1:5" x14ac:dyDescent="0.2">
      <c r="A4231">
        <v>10002930</v>
      </c>
      <c r="B4231">
        <v>28697806</v>
      </c>
      <c r="C4231">
        <v>3</v>
      </c>
      <c r="D4231" s="1" t="s">
        <v>1658</v>
      </c>
      <c r="E4231">
        <v>10</v>
      </c>
    </row>
    <row r="4232" spans="1:5" x14ac:dyDescent="0.2">
      <c r="A4232">
        <v>10002930</v>
      </c>
      <c r="B4232">
        <v>28697806</v>
      </c>
      <c r="C4232">
        <v>4</v>
      </c>
      <c r="D4232" s="1" t="s">
        <v>941</v>
      </c>
      <c r="E4232">
        <v>10</v>
      </c>
    </row>
    <row r="4233" spans="1:5" x14ac:dyDescent="0.2">
      <c r="A4233">
        <v>10002930</v>
      </c>
      <c r="B4233">
        <v>28697806</v>
      </c>
      <c r="C4233">
        <v>2</v>
      </c>
      <c r="D4233" s="1" t="s">
        <v>1635</v>
      </c>
      <c r="E4233">
        <v>10</v>
      </c>
    </row>
    <row r="4234" spans="1:5" x14ac:dyDescent="0.2">
      <c r="A4234">
        <v>10002930</v>
      </c>
      <c r="B4234">
        <v>28697806</v>
      </c>
      <c r="C4234">
        <v>5</v>
      </c>
      <c r="D4234" s="1" t="s">
        <v>1578</v>
      </c>
      <c r="E4234">
        <v>10</v>
      </c>
    </row>
    <row r="4235" spans="1:5" x14ac:dyDescent="0.2">
      <c r="A4235">
        <v>10002930</v>
      </c>
      <c r="B4235">
        <v>28477649</v>
      </c>
      <c r="C4235">
        <v>4</v>
      </c>
      <c r="D4235" s="1" t="s">
        <v>1226</v>
      </c>
      <c r="E4235">
        <v>9</v>
      </c>
    </row>
    <row r="4236" spans="1:5" x14ac:dyDescent="0.2">
      <c r="A4236">
        <v>10002930</v>
      </c>
      <c r="B4236">
        <v>28477649</v>
      </c>
      <c r="C4236">
        <v>3</v>
      </c>
      <c r="D4236" s="1" t="s">
        <v>661</v>
      </c>
      <c r="E4236">
        <v>9</v>
      </c>
    </row>
    <row r="4237" spans="1:5" x14ac:dyDescent="0.2">
      <c r="A4237">
        <v>10002930</v>
      </c>
      <c r="B4237">
        <v>28477649</v>
      </c>
      <c r="C4237">
        <v>6</v>
      </c>
      <c r="D4237" s="1" t="s">
        <v>366</v>
      </c>
      <c r="E4237">
        <v>9</v>
      </c>
    </row>
    <row r="4238" spans="1:5" x14ac:dyDescent="0.2">
      <c r="A4238">
        <v>10002930</v>
      </c>
      <c r="B4238">
        <v>28477649</v>
      </c>
      <c r="C4238">
        <v>5</v>
      </c>
      <c r="D4238" s="1" t="s">
        <v>1640</v>
      </c>
      <c r="E4238">
        <v>9</v>
      </c>
    </row>
    <row r="4239" spans="1:5" x14ac:dyDescent="0.2">
      <c r="A4239">
        <v>10002930</v>
      </c>
      <c r="B4239">
        <v>28477649</v>
      </c>
      <c r="C4239">
        <v>2</v>
      </c>
      <c r="D4239" s="1" t="s">
        <v>1642</v>
      </c>
      <c r="E4239">
        <v>9</v>
      </c>
    </row>
    <row r="4240" spans="1:5" x14ac:dyDescent="0.2">
      <c r="A4240">
        <v>10002930</v>
      </c>
      <c r="B4240">
        <v>28477649</v>
      </c>
      <c r="C4240">
        <v>1</v>
      </c>
      <c r="D4240" s="1" t="s">
        <v>1232</v>
      </c>
      <c r="E4240">
        <v>9</v>
      </c>
    </row>
    <row r="4241" spans="1:5" x14ac:dyDescent="0.2">
      <c r="A4241">
        <v>10002930</v>
      </c>
      <c r="B4241">
        <v>28477649</v>
      </c>
      <c r="C4241">
        <v>7</v>
      </c>
      <c r="D4241" s="1" t="s">
        <v>1639</v>
      </c>
      <c r="E4241">
        <v>9</v>
      </c>
    </row>
    <row r="4242" spans="1:5" x14ac:dyDescent="0.2">
      <c r="A4242">
        <v>10007795</v>
      </c>
      <c r="B4242">
        <v>22051341</v>
      </c>
      <c r="C4242">
        <v>3</v>
      </c>
      <c r="D4242" s="1" t="s">
        <v>1661</v>
      </c>
      <c r="E4242">
        <v>9</v>
      </c>
    </row>
    <row r="4243" spans="1:5" x14ac:dyDescent="0.2">
      <c r="A4243">
        <v>10007795</v>
      </c>
      <c r="B4243">
        <v>22051341</v>
      </c>
      <c r="C4243">
        <v>2</v>
      </c>
      <c r="D4243" s="1" t="s">
        <v>1662</v>
      </c>
      <c r="E4243">
        <v>9</v>
      </c>
    </row>
    <row r="4244" spans="1:5" x14ac:dyDescent="0.2">
      <c r="A4244">
        <v>10007795</v>
      </c>
      <c r="B4244">
        <v>22051341</v>
      </c>
      <c r="C4244">
        <v>6</v>
      </c>
      <c r="D4244" s="1" t="s">
        <v>1663</v>
      </c>
      <c r="E4244">
        <v>9</v>
      </c>
    </row>
    <row r="4245" spans="1:5" x14ac:dyDescent="0.2">
      <c r="A4245">
        <v>10007795</v>
      </c>
      <c r="B4245">
        <v>22051341</v>
      </c>
      <c r="C4245">
        <v>11</v>
      </c>
      <c r="D4245" s="1" t="s">
        <v>556</v>
      </c>
      <c r="E4245">
        <v>9</v>
      </c>
    </row>
    <row r="4246" spans="1:5" x14ac:dyDescent="0.2">
      <c r="A4246">
        <v>10007795</v>
      </c>
      <c r="B4246">
        <v>22051341</v>
      </c>
      <c r="C4246">
        <v>8</v>
      </c>
      <c r="D4246" s="1" t="s">
        <v>385</v>
      </c>
      <c r="E4246">
        <v>9</v>
      </c>
    </row>
    <row r="4247" spans="1:5" x14ac:dyDescent="0.2">
      <c r="A4247">
        <v>10007795</v>
      </c>
      <c r="B4247">
        <v>22051341</v>
      </c>
      <c r="C4247">
        <v>12</v>
      </c>
      <c r="D4247" s="1" t="s">
        <v>318</v>
      </c>
      <c r="E4247">
        <v>9</v>
      </c>
    </row>
    <row r="4248" spans="1:5" x14ac:dyDescent="0.2">
      <c r="A4248">
        <v>10007795</v>
      </c>
      <c r="B4248">
        <v>22051341</v>
      </c>
      <c r="C4248">
        <v>9</v>
      </c>
      <c r="D4248" s="1" t="s">
        <v>406</v>
      </c>
      <c r="E4248">
        <v>9</v>
      </c>
    </row>
    <row r="4249" spans="1:5" x14ac:dyDescent="0.2">
      <c r="A4249">
        <v>10007795</v>
      </c>
      <c r="B4249">
        <v>22051341</v>
      </c>
      <c r="C4249">
        <v>4</v>
      </c>
      <c r="D4249" s="1" t="s">
        <v>1254</v>
      </c>
      <c r="E4249">
        <v>9</v>
      </c>
    </row>
    <row r="4250" spans="1:5" x14ac:dyDescent="0.2">
      <c r="A4250">
        <v>10007795</v>
      </c>
      <c r="B4250">
        <v>22051341</v>
      </c>
      <c r="C4250">
        <v>1</v>
      </c>
      <c r="D4250" s="1" t="s">
        <v>464</v>
      </c>
      <c r="E4250">
        <v>9</v>
      </c>
    </row>
    <row r="4251" spans="1:5" x14ac:dyDescent="0.2">
      <c r="A4251">
        <v>10007795</v>
      </c>
      <c r="B4251">
        <v>22051341</v>
      </c>
      <c r="C4251">
        <v>5</v>
      </c>
      <c r="D4251" s="1" t="s">
        <v>1664</v>
      </c>
      <c r="E4251">
        <v>9</v>
      </c>
    </row>
    <row r="4252" spans="1:5" x14ac:dyDescent="0.2">
      <c r="A4252">
        <v>10007795</v>
      </c>
      <c r="B4252">
        <v>22051341</v>
      </c>
      <c r="C4252">
        <v>10</v>
      </c>
      <c r="D4252" s="1" t="s">
        <v>366</v>
      </c>
      <c r="E4252">
        <v>9</v>
      </c>
    </row>
    <row r="4253" spans="1:5" x14ac:dyDescent="0.2">
      <c r="A4253">
        <v>10007795</v>
      </c>
      <c r="B4253">
        <v>22051341</v>
      </c>
      <c r="C4253">
        <v>7</v>
      </c>
      <c r="D4253" s="1" t="s">
        <v>296</v>
      </c>
      <c r="E4253">
        <v>9</v>
      </c>
    </row>
    <row r="4254" spans="1:5" x14ac:dyDescent="0.2">
      <c r="A4254">
        <v>10007795</v>
      </c>
      <c r="B4254">
        <v>25135483</v>
      </c>
      <c r="C4254">
        <v>2</v>
      </c>
      <c r="D4254" s="1" t="s">
        <v>1665</v>
      </c>
      <c r="E4254">
        <v>9</v>
      </c>
    </row>
    <row r="4255" spans="1:5" x14ac:dyDescent="0.2">
      <c r="A4255">
        <v>10007795</v>
      </c>
      <c r="B4255">
        <v>25135483</v>
      </c>
      <c r="C4255">
        <v>8</v>
      </c>
      <c r="D4255" s="1" t="s">
        <v>272</v>
      </c>
      <c r="E4255">
        <v>9</v>
      </c>
    </row>
    <row r="4256" spans="1:5" x14ac:dyDescent="0.2">
      <c r="A4256">
        <v>10007795</v>
      </c>
      <c r="B4256">
        <v>25135483</v>
      </c>
      <c r="C4256">
        <v>7</v>
      </c>
      <c r="D4256" s="1" t="s">
        <v>385</v>
      </c>
      <c r="E4256">
        <v>9</v>
      </c>
    </row>
    <row r="4257" spans="1:5" x14ac:dyDescent="0.2">
      <c r="A4257">
        <v>10007795</v>
      </c>
      <c r="B4257">
        <v>25135483</v>
      </c>
      <c r="C4257">
        <v>10</v>
      </c>
      <c r="D4257" s="1" t="s">
        <v>1301</v>
      </c>
      <c r="E4257">
        <v>9</v>
      </c>
    </row>
    <row r="4258" spans="1:5" x14ac:dyDescent="0.2">
      <c r="A4258">
        <v>10007795</v>
      </c>
      <c r="B4258">
        <v>25135483</v>
      </c>
      <c r="C4258">
        <v>11</v>
      </c>
      <c r="D4258" s="1" t="s">
        <v>318</v>
      </c>
      <c r="E4258">
        <v>9</v>
      </c>
    </row>
    <row r="4259" spans="1:5" x14ac:dyDescent="0.2">
      <c r="A4259">
        <v>10007795</v>
      </c>
      <c r="B4259">
        <v>25135483</v>
      </c>
      <c r="C4259">
        <v>6</v>
      </c>
      <c r="D4259" s="1" t="s">
        <v>296</v>
      </c>
      <c r="E4259">
        <v>9</v>
      </c>
    </row>
    <row r="4260" spans="1:5" x14ac:dyDescent="0.2">
      <c r="A4260">
        <v>10007795</v>
      </c>
      <c r="B4260">
        <v>25135483</v>
      </c>
      <c r="C4260">
        <v>5</v>
      </c>
      <c r="D4260" s="1" t="s">
        <v>1662</v>
      </c>
      <c r="E4260">
        <v>9</v>
      </c>
    </row>
    <row r="4261" spans="1:5" x14ac:dyDescent="0.2">
      <c r="A4261">
        <v>10007795</v>
      </c>
      <c r="B4261">
        <v>25135483</v>
      </c>
      <c r="C4261">
        <v>1</v>
      </c>
      <c r="D4261" s="1" t="s">
        <v>974</v>
      </c>
      <c r="E4261">
        <v>9</v>
      </c>
    </row>
    <row r="4262" spans="1:5" x14ac:dyDescent="0.2">
      <c r="A4262">
        <v>10007795</v>
      </c>
      <c r="B4262">
        <v>25135483</v>
      </c>
      <c r="C4262">
        <v>12</v>
      </c>
      <c r="D4262" s="1" t="s">
        <v>366</v>
      </c>
      <c r="E4262">
        <v>9</v>
      </c>
    </row>
    <row r="4263" spans="1:5" x14ac:dyDescent="0.2">
      <c r="A4263">
        <v>10007795</v>
      </c>
      <c r="B4263">
        <v>25135483</v>
      </c>
      <c r="C4263">
        <v>9</v>
      </c>
      <c r="D4263" s="1" t="s">
        <v>556</v>
      </c>
      <c r="E4263">
        <v>9</v>
      </c>
    </row>
    <row r="4264" spans="1:5" x14ac:dyDescent="0.2">
      <c r="A4264">
        <v>10007795</v>
      </c>
      <c r="B4264">
        <v>25135483</v>
      </c>
      <c r="C4264">
        <v>4</v>
      </c>
      <c r="D4264" s="1" t="s">
        <v>1666</v>
      </c>
      <c r="E4264">
        <v>9</v>
      </c>
    </row>
    <row r="4265" spans="1:5" x14ac:dyDescent="0.2">
      <c r="A4265">
        <v>10007795</v>
      </c>
      <c r="B4265">
        <v>25135483</v>
      </c>
      <c r="C4265">
        <v>3</v>
      </c>
      <c r="D4265" s="1" t="s">
        <v>1055</v>
      </c>
      <c r="E4265">
        <v>9</v>
      </c>
    </row>
    <row r="4266" spans="1:5" x14ac:dyDescent="0.2">
      <c r="A4266">
        <v>10007795</v>
      </c>
      <c r="B4266">
        <v>27962747</v>
      </c>
      <c r="C4266">
        <v>11</v>
      </c>
      <c r="D4266" s="1" t="s">
        <v>839</v>
      </c>
      <c r="E4266">
        <v>9</v>
      </c>
    </row>
    <row r="4267" spans="1:5" x14ac:dyDescent="0.2">
      <c r="A4267">
        <v>10007795</v>
      </c>
      <c r="B4267">
        <v>27962747</v>
      </c>
      <c r="C4267">
        <v>12</v>
      </c>
      <c r="D4267" s="1" t="s">
        <v>308</v>
      </c>
      <c r="E4267">
        <v>9</v>
      </c>
    </row>
    <row r="4268" spans="1:5" x14ac:dyDescent="0.2">
      <c r="A4268">
        <v>10007795</v>
      </c>
      <c r="B4268">
        <v>27962747</v>
      </c>
      <c r="C4268">
        <v>10</v>
      </c>
      <c r="D4268" s="1" t="s">
        <v>385</v>
      </c>
      <c r="E4268">
        <v>9</v>
      </c>
    </row>
    <row r="4269" spans="1:5" x14ac:dyDescent="0.2">
      <c r="A4269">
        <v>10007795</v>
      </c>
      <c r="B4269">
        <v>27962747</v>
      </c>
      <c r="C4269">
        <v>3</v>
      </c>
      <c r="D4269" s="1" t="s">
        <v>407</v>
      </c>
      <c r="E4269">
        <v>9</v>
      </c>
    </row>
    <row r="4270" spans="1:5" x14ac:dyDescent="0.2">
      <c r="A4270">
        <v>10007795</v>
      </c>
      <c r="B4270">
        <v>27962747</v>
      </c>
      <c r="C4270">
        <v>9</v>
      </c>
      <c r="D4270" s="1" t="s">
        <v>556</v>
      </c>
      <c r="E4270">
        <v>9</v>
      </c>
    </row>
    <row r="4271" spans="1:5" x14ac:dyDescent="0.2">
      <c r="A4271">
        <v>10007795</v>
      </c>
      <c r="B4271">
        <v>27962747</v>
      </c>
      <c r="C4271">
        <v>1</v>
      </c>
      <c r="D4271" s="1" t="s">
        <v>1055</v>
      </c>
      <c r="E4271">
        <v>9</v>
      </c>
    </row>
    <row r="4272" spans="1:5" x14ac:dyDescent="0.2">
      <c r="A4272">
        <v>10007795</v>
      </c>
      <c r="B4272">
        <v>27962747</v>
      </c>
      <c r="C4272">
        <v>5</v>
      </c>
      <c r="D4272" s="1" t="s">
        <v>296</v>
      </c>
      <c r="E4272">
        <v>9</v>
      </c>
    </row>
    <row r="4273" spans="1:5" x14ac:dyDescent="0.2">
      <c r="A4273">
        <v>10007795</v>
      </c>
      <c r="B4273">
        <v>27962747</v>
      </c>
      <c r="C4273">
        <v>7</v>
      </c>
      <c r="D4273" s="1" t="s">
        <v>384</v>
      </c>
      <c r="E4273">
        <v>9</v>
      </c>
    </row>
    <row r="4274" spans="1:5" x14ac:dyDescent="0.2">
      <c r="A4274">
        <v>10007795</v>
      </c>
      <c r="B4274">
        <v>27962747</v>
      </c>
      <c r="C4274">
        <v>4</v>
      </c>
      <c r="D4274" s="1" t="s">
        <v>490</v>
      </c>
      <c r="E4274">
        <v>9</v>
      </c>
    </row>
    <row r="4275" spans="1:5" x14ac:dyDescent="0.2">
      <c r="A4275">
        <v>10007795</v>
      </c>
      <c r="B4275">
        <v>27962747</v>
      </c>
      <c r="C4275">
        <v>6</v>
      </c>
      <c r="D4275" s="1" t="s">
        <v>1667</v>
      </c>
      <c r="E4275">
        <v>9</v>
      </c>
    </row>
    <row r="4276" spans="1:5" x14ac:dyDescent="0.2">
      <c r="A4276">
        <v>10007795</v>
      </c>
      <c r="B4276">
        <v>27962747</v>
      </c>
      <c r="C4276">
        <v>8</v>
      </c>
      <c r="D4276" s="1" t="s">
        <v>1018</v>
      </c>
      <c r="E4276">
        <v>9</v>
      </c>
    </row>
    <row r="4277" spans="1:5" x14ac:dyDescent="0.2">
      <c r="A4277">
        <v>10007795</v>
      </c>
      <c r="B4277">
        <v>27962747</v>
      </c>
      <c r="C4277">
        <v>2</v>
      </c>
      <c r="D4277" s="1" t="s">
        <v>1663</v>
      </c>
      <c r="E4277">
        <v>9</v>
      </c>
    </row>
    <row r="4278" spans="1:5" x14ac:dyDescent="0.2">
      <c r="A4278">
        <v>10007795</v>
      </c>
      <c r="B4278">
        <v>28477357</v>
      </c>
      <c r="C4278">
        <v>4</v>
      </c>
      <c r="D4278" s="1" t="s">
        <v>587</v>
      </c>
      <c r="E4278">
        <v>9</v>
      </c>
    </row>
    <row r="4279" spans="1:5" x14ac:dyDescent="0.2">
      <c r="A4279">
        <v>10007795</v>
      </c>
      <c r="B4279">
        <v>28477357</v>
      </c>
      <c r="C4279">
        <v>14</v>
      </c>
      <c r="D4279" s="1" t="s">
        <v>260</v>
      </c>
      <c r="E4279">
        <v>9</v>
      </c>
    </row>
    <row r="4280" spans="1:5" x14ac:dyDescent="0.2">
      <c r="A4280">
        <v>10007795</v>
      </c>
      <c r="B4280">
        <v>28477357</v>
      </c>
      <c r="C4280">
        <v>7</v>
      </c>
      <c r="D4280" s="1" t="s">
        <v>781</v>
      </c>
      <c r="E4280">
        <v>9</v>
      </c>
    </row>
    <row r="4281" spans="1:5" x14ac:dyDescent="0.2">
      <c r="A4281">
        <v>10007795</v>
      </c>
      <c r="B4281">
        <v>28477357</v>
      </c>
      <c r="C4281">
        <v>5</v>
      </c>
      <c r="D4281" s="1" t="s">
        <v>307</v>
      </c>
      <c r="E4281">
        <v>9</v>
      </c>
    </row>
    <row r="4282" spans="1:5" x14ac:dyDescent="0.2">
      <c r="A4282">
        <v>10007795</v>
      </c>
      <c r="B4282">
        <v>28477357</v>
      </c>
      <c r="C4282">
        <v>16</v>
      </c>
      <c r="D4282" s="1" t="s">
        <v>1018</v>
      </c>
      <c r="E4282">
        <v>9</v>
      </c>
    </row>
    <row r="4283" spans="1:5" x14ac:dyDescent="0.2">
      <c r="A4283">
        <v>10007795</v>
      </c>
      <c r="B4283">
        <v>28477357</v>
      </c>
      <c r="C4283">
        <v>23</v>
      </c>
      <c r="D4283" s="1" t="s">
        <v>285</v>
      </c>
      <c r="E4283">
        <v>9</v>
      </c>
    </row>
    <row r="4284" spans="1:5" x14ac:dyDescent="0.2">
      <c r="A4284">
        <v>10007795</v>
      </c>
      <c r="B4284">
        <v>28477357</v>
      </c>
      <c r="C4284">
        <v>11</v>
      </c>
      <c r="D4284" s="1" t="s">
        <v>296</v>
      </c>
      <c r="E4284">
        <v>9</v>
      </c>
    </row>
    <row r="4285" spans="1:5" x14ac:dyDescent="0.2">
      <c r="A4285">
        <v>10007795</v>
      </c>
      <c r="B4285">
        <v>28477357</v>
      </c>
      <c r="C4285">
        <v>3</v>
      </c>
      <c r="D4285" s="1" t="s">
        <v>404</v>
      </c>
      <c r="E4285">
        <v>9</v>
      </c>
    </row>
    <row r="4286" spans="1:5" x14ac:dyDescent="0.2">
      <c r="A4286">
        <v>10007795</v>
      </c>
      <c r="B4286">
        <v>28477357</v>
      </c>
      <c r="C4286">
        <v>21</v>
      </c>
      <c r="D4286" s="1" t="s">
        <v>1668</v>
      </c>
      <c r="E4286">
        <v>9</v>
      </c>
    </row>
    <row r="4287" spans="1:5" x14ac:dyDescent="0.2">
      <c r="A4287">
        <v>10007795</v>
      </c>
      <c r="B4287">
        <v>28477357</v>
      </c>
      <c r="C4287">
        <v>10</v>
      </c>
      <c r="D4287" s="1" t="s">
        <v>723</v>
      </c>
      <c r="E4287">
        <v>9</v>
      </c>
    </row>
    <row r="4288" spans="1:5" x14ac:dyDescent="0.2">
      <c r="A4288">
        <v>10007795</v>
      </c>
      <c r="B4288">
        <v>28477357</v>
      </c>
      <c r="C4288">
        <v>9</v>
      </c>
      <c r="D4288" s="1" t="s">
        <v>457</v>
      </c>
      <c r="E4288">
        <v>9</v>
      </c>
    </row>
    <row r="4289" spans="1:5" x14ac:dyDescent="0.2">
      <c r="A4289">
        <v>10007795</v>
      </c>
      <c r="B4289">
        <v>28477357</v>
      </c>
      <c r="C4289">
        <v>15</v>
      </c>
      <c r="D4289" s="1" t="s">
        <v>406</v>
      </c>
      <c r="E4289">
        <v>9</v>
      </c>
    </row>
    <row r="4290" spans="1:5" x14ac:dyDescent="0.2">
      <c r="A4290">
        <v>10007795</v>
      </c>
      <c r="B4290">
        <v>28477357</v>
      </c>
      <c r="C4290">
        <v>8</v>
      </c>
      <c r="D4290" s="1" t="s">
        <v>1669</v>
      </c>
      <c r="E4290">
        <v>9</v>
      </c>
    </row>
    <row r="4291" spans="1:5" x14ac:dyDescent="0.2">
      <c r="A4291">
        <v>10007795</v>
      </c>
      <c r="B4291">
        <v>28477357</v>
      </c>
      <c r="C4291">
        <v>1</v>
      </c>
      <c r="D4291" s="1" t="s">
        <v>1055</v>
      </c>
      <c r="E4291">
        <v>9</v>
      </c>
    </row>
    <row r="4292" spans="1:5" x14ac:dyDescent="0.2">
      <c r="A4292">
        <v>10007795</v>
      </c>
      <c r="B4292">
        <v>28477357</v>
      </c>
      <c r="C4292">
        <v>20</v>
      </c>
      <c r="D4292" s="1" t="s">
        <v>1663</v>
      </c>
      <c r="E4292">
        <v>9</v>
      </c>
    </row>
    <row r="4293" spans="1:5" x14ac:dyDescent="0.2">
      <c r="A4293">
        <v>10007795</v>
      </c>
      <c r="B4293">
        <v>28477357</v>
      </c>
      <c r="C4293">
        <v>19</v>
      </c>
      <c r="D4293" s="1" t="s">
        <v>360</v>
      </c>
      <c r="E4293">
        <v>9</v>
      </c>
    </row>
    <row r="4294" spans="1:5" x14ac:dyDescent="0.2">
      <c r="A4294">
        <v>10007795</v>
      </c>
      <c r="B4294">
        <v>28477357</v>
      </c>
      <c r="C4294">
        <v>6</v>
      </c>
      <c r="D4294" s="1" t="s">
        <v>1331</v>
      </c>
      <c r="E4294">
        <v>9</v>
      </c>
    </row>
    <row r="4295" spans="1:5" x14ac:dyDescent="0.2">
      <c r="A4295">
        <v>10007795</v>
      </c>
      <c r="B4295">
        <v>28477357</v>
      </c>
      <c r="C4295">
        <v>13</v>
      </c>
      <c r="D4295" s="1" t="s">
        <v>1662</v>
      </c>
      <c r="E4295">
        <v>9</v>
      </c>
    </row>
    <row r="4296" spans="1:5" x14ac:dyDescent="0.2">
      <c r="A4296">
        <v>10007795</v>
      </c>
      <c r="B4296">
        <v>28477357</v>
      </c>
      <c r="C4296">
        <v>17</v>
      </c>
      <c r="D4296" s="1" t="s">
        <v>556</v>
      </c>
      <c r="E4296">
        <v>9</v>
      </c>
    </row>
    <row r="4297" spans="1:5" x14ac:dyDescent="0.2">
      <c r="A4297">
        <v>10007795</v>
      </c>
      <c r="B4297">
        <v>28477357</v>
      </c>
      <c r="C4297">
        <v>2</v>
      </c>
      <c r="D4297" s="1" t="s">
        <v>974</v>
      </c>
      <c r="E4297">
        <v>9</v>
      </c>
    </row>
    <row r="4298" spans="1:5" x14ac:dyDescent="0.2">
      <c r="A4298">
        <v>10007795</v>
      </c>
      <c r="B4298">
        <v>28477357</v>
      </c>
      <c r="C4298">
        <v>12</v>
      </c>
      <c r="D4298" s="1" t="s">
        <v>385</v>
      </c>
      <c r="E4298">
        <v>9</v>
      </c>
    </row>
    <row r="4299" spans="1:5" x14ac:dyDescent="0.2">
      <c r="A4299">
        <v>10007795</v>
      </c>
      <c r="B4299">
        <v>28477357</v>
      </c>
      <c r="C4299">
        <v>18</v>
      </c>
      <c r="D4299" s="1" t="s">
        <v>813</v>
      </c>
      <c r="E4299">
        <v>9</v>
      </c>
    </row>
    <row r="4300" spans="1:5" x14ac:dyDescent="0.2">
      <c r="A4300">
        <v>10007795</v>
      </c>
      <c r="B4300">
        <v>28477357</v>
      </c>
      <c r="C4300">
        <v>22</v>
      </c>
      <c r="D4300" s="1" t="s">
        <v>1296</v>
      </c>
      <c r="E4300">
        <v>9</v>
      </c>
    </row>
    <row r="4301" spans="1:5" x14ac:dyDescent="0.2">
      <c r="A4301">
        <v>10007795</v>
      </c>
      <c r="B4301">
        <v>20285402</v>
      </c>
      <c r="C4301">
        <v>1</v>
      </c>
      <c r="D4301" s="1" t="s">
        <v>1253</v>
      </c>
      <c r="E4301">
        <v>9</v>
      </c>
    </row>
    <row r="4302" spans="1:5" x14ac:dyDescent="0.2">
      <c r="A4302">
        <v>10007795</v>
      </c>
      <c r="B4302">
        <v>20285402</v>
      </c>
      <c r="C4302">
        <v>4</v>
      </c>
      <c r="D4302" s="1" t="s">
        <v>1665</v>
      </c>
      <c r="E4302">
        <v>9</v>
      </c>
    </row>
    <row r="4303" spans="1:5" x14ac:dyDescent="0.2">
      <c r="A4303">
        <v>10007795</v>
      </c>
      <c r="B4303">
        <v>20285402</v>
      </c>
      <c r="C4303">
        <v>12</v>
      </c>
      <c r="D4303" s="1" t="s">
        <v>556</v>
      </c>
      <c r="E4303">
        <v>9</v>
      </c>
    </row>
    <row r="4304" spans="1:5" x14ac:dyDescent="0.2">
      <c r="A4304">
        <v>10007795</v>
      </c>
      <c r="B4304">
        <v>20285402</v>
      </c>
      <c r="C4304">
        <v>6</v>
      </c>
      <c r="D4304" s="1" t="s">
        <v>302</v>
      </c>
      <c r="E4304">
        <v>9</v>
      </c>
    </row>
    <row r="4305" spans="1:5" x14ac:dyDescent="0.2">
      <c r="A4305">
        <v>10007795</v>
      </c>
      <c r="B4305">
        <v>20285402</v>
      </c>
      <c r="C4305">
        <v>9</v>
      </c>
      <c r="D4305" s="1" t="s">
        <v>385</v>
      </c>
      <c r="E4305">
        <v>9</v>
      </c>
    </row>
    <row r="4306" spans="1:5" x14ac:dyDescent="0.2">
      <c r="A4306">
        <v>10007795</v>
      </c>
      <c r="B4306">
        <v>20285402</v>
      </c>
      <c r="C4306">
        <v>2</v>
      </c>
      <c r="D4306" s="1" t="s">
        <v>1055</v>
      </c>
      <c r="E4306">
        <v>9</v>
      </c>
    </row>
    <row r="4307" spans="1:5" x14ac:dyDescent="0.2">
      <c r="A4307">
        <v>10007795</v>
      </c>
      <c r="B4307">
        <v>20285402</v>
      </c>
      <c r="C4307">
        <v>14</v>
      </c>
      <c r="D4307" s="1" t="s">
        <v>308</v>
      </c>
      <c r="E4307">
        <v>9</v>
      </c>
    </row>
    <row r="4308" spans="1:5" x14ac:dyDescent="0.2">
      <c r="A4308">
        <v>10007795</v>
      </c>
      <c r="B4308">
        <v>20285402</v>
      </c>
      <c r="C4308">
        <v>13</v>
      </c>
      <c r="D4308" s="1" t="s">
        <v>1663</v>
      </c>
      <c r="E4308">
        <v>9</v>
      </c>
    </row>
    <row r="4309" spans="1:5" x14ac:dyDescent="0.2">
      <c r="A4309">
        <v>10007795</v>
      </c>
      <c r="B4309">
        <v>20285402</v>
      </c>
      <c r="C4309">
        <v>3</v>
      </c>
      <c r="D4309" s="1" t="s">
        <v>1293</v>
      </c>
      <c r="E4309">
        <v>9</v>
      </c>
    </row>
    <row r="4310" spans="1:5" x14ac:dyDescent="0.2">
      <c r="A4310">
        <v>10007795</v>
      </c>
      <c r="B4310">
        <v>20285402</v>
      </c>
      <c r="C4310">
        <v>8</v>
      </c>
      <c r="D4310" s="1" t="s">
        <v>296</v>
      </c>
      <c r="E4310">
        <v>9</v>
      </c>
    </row>
    <row r="4311" spans="1:5" x14ac:dyDescent="0.2">
      <c r="A4311">
        <v>10007795</v>
      </c>
      <c r="B4311">
        <v>20285402</v>
      </c>
      <c r="C4311">
        <v>7</v>
      </c>
      <c r="D4311" s="1" t="s">
        <v>464</v>
      </c>
      <c r="E4311">
        <v>9</v>
      </c>
    </row>
    <row r="4312" spans="1:5" x14ac:dyDescent="0.2">
      <c r="A4312">
        <v>10007795</v>
      </c>
      <c r="B4312">
        <v>20285402</v>
      </c>
      <c r="C4312">
        <v>10</v>
      </c>
      <c r="D4312" s="1" t="s">
        <v>384</v>
      </c>
      <c r="E4312">
        <v>9</v>
      </c>
    </row>
    <row r="4313" spans="1:5" x14ac:dyDescent="0.2">
      <c r="A4313">
        <v>10007795</v>
      </c>
      <c r="B4313">
        <v>20285402</v>
      </c>
      <c r="C4313">
        <v>5</v>
      </c>
      <c r="D4313" s="1" t="s">
        <v>1670</v>
      </c>
      <c r="E4313">
        <v>9</v>
      </c>
    </row>
    <row r="4314" spans="1:5" x14ac:dyDescent="0.2">
      <c r="A4314">
        <v>10007795</v>
      </c>
      <c r="B4314">
        <v>20285402</v>
      </c>
      <c r="C4314">
        <v>11</v>
      </c>
      <c r="D4314" s="1" t="s">
        <v>1018</v>
      </c>
      <c r="E4314">
        <v>9</v>
      </c>
    </row>
    <row r="4315" spans="1:5" x14ac:dyDescent="0.2">
      <c r="A4315">
        <v>10010867</v>
      </c>
      <c r="B4315">
        <v>22950920</v>
      </c>
      <c r="C4315">
        <v>8</v>
      </c>
      <c r="D4315" s="1" t="s">
        <v>1671</v>
      </c>
      <c r="E4315">
        <v>10</v>
      </c>
    </row>
    <row r="4316" spans="1:5" x14ac:dyDescent="0.2">
      <c r="A4316">
        <v>10010867</v>
      </c>
      <c r="B4316">
        <v>22950920</v>
      </c>
      <c r="C4316">
        <v>4</v>
      </c>
      <c r="D4316" s="1" t="s">
        <v>1672</v>
      </c>
      <c r="E4316">
        <v>10</v>
      </c>
    </row>
    <row r="4317" spans="1:5" x14ac:dyDescent="0.2">
      <c r="A4317">
        <v>10010867</v>
      </c>
      <c r="B4317">
        <v>22950920</v>
      </c>
      <c r="C4317">
        <v>7</v>
      </c>
      <c r="D4317" s="1" t="s">
        <v>1383</v>
      </c>
      <c r="E4317">
        <v>10</v>
      </c>
    </row>
    <row r="4318" spans="1:5" x14ac:dyDescent="0.2">
      <c r="A4318">
        <v>10010867</v>
      </c>
      <c r="B4318">
        <v>22950920</v>
      </c>
      <c r="C4318">
        <v>5</v>
      </c>
      <c r="D4318" s="1" t="s">
        <v>1103</v>
      </c>
      <c r="E4318">
        <v>10</v>
      </c>
    </row>
    <row r="4319" spans="1:5" x14ac:dyDescent="0.2">
      <c r="A4319">
        <v>10010867</v>
      </c>
      <c r="B4319">
        <v>22950920</v>
      </c>
      <c r="C4319">
        <v>9</v>
      </c>
      <c r="D4319" s="1" t="s">
        <v>519</v>
      </c>
      <c r="E4319">
        <v>10</v>
      </c>
    </row>
    <row r="4320" spans="1:5" x14ac:dyDescent="0.2">
      <c r="A4320">
        <v>10010867</v>
      </c>
      <c r="B4320">
        <v>22950920</v>
      </c>
      <c r="C4320">
        <v>6</v>
      </c>
      <c r="D4320" s="1" t="s">
        <v>378</v>
      </c>
      <c r="E4320">
        <v>10</v>
      </c>
    </row>
    <row r="4321" spans="1:5" x14ac:dyDescent="0.2">
      <c r="A4321">
        <v>10010867</v>
      </c>
      <c r="B4321">
        <v>22950920</v>
      </c>
      <c r="C4321">
        <v>2</v>
      </c>
      <c r="D4321" s="1" t="s">
        <v>1070</v>
      </c>
      <c r="E4321">
        <v>10</v>
      </c>
    </row>
    <row r="4322" spans="1:5" x14ac:dyDescent="0.2">
      <c r="A4322">
        <v>10010867</v>
      </c>
      <c r="B4322">
        <v>22950920</v>
      </c>
      <c r="C4322">
        <v>3</v>
      </c>
      <c r="D4322" s="1" t="s">
        <v>1673</v>
      </c>
      <c r="E4322">
        <v>10</v>
      </c>
    </row>
    <row r="4323" spans="1:5" x14ac:dyDescent="0.2">
      <c r="A4323">
        <v>10010867</v>
      </c>
      <c r="B4323">
        <v>22950920</v>
      </c>
      <c r="C4323">
        <v>11</v>
      </c>
      <c r="D4323" s="1" t="s">
        <v>1657</v>
      </c>
      <c r="E4323">
        <v>10</v>
      </c>
    </row>
    <row r="4324" spans="1:5" x14ac:dyDescent="0.2">
      <c r="A4324">
        <v>10010867</v>
      </c>
      <c r="B4324">
        <v>22950920</v>
      </c>
      <c r="C4324">
        <v>10</v>
      </c>
      <c r="D4324" s="1" t="s">
        <v>1674</v>
      </c>
      <c r="E4324">
        <v>10</v>
      </c>
    </row>
    <row r="4325" spans="1:5" x14ac:dyDescent="0.2">
      <c r="A4325">
        <v>10010867</v>
      </c>
      <c r="B4325">
        <v>22950920</v>
      </c>
      <c r="C4325">
        <v>12</v>
      </c>
      <c r="D4325" s="1" t="s">
        <v>1675</v>
      </c>
      <c r="E4325">
        <v>10</v>
      </c>
    </row>
    <row r="4326" spans="1:5" x14ac:dyDescent="0.2">
      <c r="A4326">
        <v>10010867</v>
      </c>
      <c r="B4326">
        <v>22950920</v>
      </c>
      <c r="C4326">
        <v>1</v>
      </c>
      <c r="D4326" s="1" t="s">
        <v>1676</v>
      </c>
      <c r="E4326">
        <v>10</v>
      </c>
    </row>
    <row r="4327" spans="1:5" x14ac:dyDescent="0.2">
      <c r="A4327">
        <v>10010867</v>
      </c>
      <c r="B4327">
        <v>22429197</v>
      </c>
      <c r="C4327">
        <v>13</v>
      </c>
      <c r="D4327" s="1" t="s">
        <v>624</v>
      </c>
      <c r="E4327">
        <v>10</v>
      </c>
    </row>
    <row r="4328" spans="1:5" x14ac:dyDescent="0.2">
      <c r="A4328">
        <v>10010867</v>
      </c>
      <c r="B4328">
        <v>22429197</v>
      </c>
      <c r="C4328">
        <v>7</v>
      </c>
      <c r="D4328" s="1" t="s">
        <v>1677</v>
      </c>
      <c r="E4328">
        <v>10</v>
      </c>
    </row>
    <row r="4329" spans="1:5" x14ac:dyDescent="0.2">
      <c r="A4329">
        <v>10010867</v>
      </c>
      <c r="B4329">
        <v>22429197</v>
      </c>
      <c r="C4329">
        <v>19</v>
      </c>
      <c r="D4329" s="1" t="s">
        <v>1274</v>
      </c>
      <c r="E4329">
        <v>10</v>
      </c>
    </row>
    <row r="4330" spans="1:5" x14ac:dyDescent="0.2">
      <c r="A4330">
        <v>10010867</v>
      </c>
      <c r="B4330">
        <v>22429197</v>
      </c>
      <c r="C4330">
        <v>14</v>
      </c>
      <c r="D4330" s="1" t="s">
        <v>904</v>
      </c>
      <c r="E4330">
        <v>10</v>
      </c>
    </row>
    <row r="4331" spans="1:5" x14ac:dyDescent="0.2">
      <c r="A4331">
        <v>10010867</v>
      </c>
      <c r="B4331">
        <v>22429197</v>
      </c>
      <c r="C4331">
        <v>24</v>
      </c>
      <c r="D4331" s="1" t="s">
        <v>605</v>
      </c>
      <c r="E4331">
        <v>10</v>
      </c>
    </row>
    <row r="4332" spans="1:5" x14ac:dyDescent="0.2">
      <c r="A4332">
        <v>10010867</v>
      </c>
      <c r="B4332">
        <v>22429197</v>
      </c>
      <c r="C4332">
        <v>20</v>
      </c>
      <c r="D4332" s="1" t="s">
        <v>1678</v>
      </c>
      <c r="E4332">
        <v>10</v>
      </c>
    </row>
    <row r="4333" spans="1:5" x14ac:dyDescent="0.2">
      <c r="A4333">
        <v>10010867</v>
      </c>
      <c r="B4333">
        <v>22429197</v>
      </c>
      <c r="C4333">
        <v>12</v>
      </c>
      <c r="D4333" s="1" t="s">
        <v>334</v>
      </c>
      <c r="E4333">
        <v>10</v>
      </c>
    </row>
    <row r="4334" spans="1:5" x14ac:dyDescent="0.2">
      <c r="A4334">
        <v>10010867</v>
      </c>
      <c r="B4334">
        <v>22429197</v>
      </c>
      <c r="C4334">
        <v>2</v>
      </c>
      <c r="D4334" s="1" t="s">
        <v>1679</v>
      </c>
      <c r="E4334">
        <v>10</v>
      </c>
    </row>
    <row r="4335" spans="1:5" x14ac:dyDescent="0.2">
      <c r="A4335">
        <v>10010867</v>
      </c>
      <c r="B4335">
        <v>22429197</v>
      </c>
      <c r="C4335">
        <v>9</v>
      </c>
      <c r="D4335" s="1" t="s">
        <v>1673</v>
      </c>
      <c r="E4335">
        <v>10</v>
      </c>
    </row>
    <row r="4336" spans="1:5" x14ac:dyDescent="0.2">
      <c r="A4336">
        <v>10010867</v>
      </c>
      <c r="B4336">
        <v>22429197</v>
      </c>
      <c r="C4336">
        <v>25</v>
      </c>
      <c r="D4336" s="1" t="s">
        <v>755</v>
      </c>
      <c r="E4336">
        <v>10</v>
      </c>
    </row>
    <row r="4337" spans="1:5" x14ac:dyDescent="0.2">
      <c r="A4337">
        <v>10010867</v>
      </c>
      <c r="B4337">
        <v>22429197</v>
      </c>
      <c r="C4337">
        <v>16</v>
      </c>
      <c r="D4337" s="1" t="s">
        <v>1680</v>
      </c>
      <c r="E4337">
        <v>10</v>
      </c>
    </row>
    <row r="4338" spans="1:5" x14ac:dyDescent="0.2">
      <c r="A4338">
        <v>10010867</v>
      </c>
      <c r="B4338">
        <v>22429197</v>
      </c>
      <c r="C4338">
        <v>15</v>
      </c>
      <c r="D4338" s="1" t="s">
        <v>1635</v>
      </c>
      <c r="E4338">
        <v>10</v>
      </c>
    </row>
    <row r="4339" spans="1:5" x14ac:dyDescent="0.2">
      <c r="A4339">
        <v>10010867</v>
      </c>
      <c r="B4339">
        <v>22429197</v>
      </c>
      <c r="C4339">
        <v>26</v>
      </c>
      <c r="D4339" s="1" t="s">
        <v>478</v>
      </c>
      <c r="E4339">
        <v>10</v>
      </c>
    </row>
    <row r="4340" spans="1:5" x14ac:dyDescent="0.2">
      <c r="A4340">
        <v>10010867</v>
      </c>
      <c r="B4340">
        <v>22429197</v>
      </c>
      <c r="C4340">
        <v>3</v>
      </c>
      <c r="D4340" s="1" t="s">
        <v>1681</v>
      </c>
      <c r="E4340">
        <v>10</v>
      </c>
    </row>
    <row r="4341" spans="1:5" x14ac:dyDescent="0.2">
      <c r="A4341">
        <v>10010867</v>
      </c>
      <c r="B4341">
        <v>22429197</v>
      </c>
      <c r="C4341">
        <v>22</v>
      </c>
      <c r="D4341" s="1" t="s">
        <v>1204</v>
      </c>
      <c r="E4341">
        <v>10</v>
      </c>
    </row>
    <row r="4342" spans="1:5" x14ac:dyDescent="0.2">
      <c r="A4342">
        <v>10010867</v>
      </c>
      <c r="B4342">
        <v>22429197</v>
      </c>
      <c r="C4342">
        <v>6</v>
      </c>
      <c r="D4342" s="1" t="s">
        <v>1127</v>
      </c>
      <c r="E4342">
        <v>10</v>
      </c>
    </row>
    <row r="4343" spans="1:5" x14ac:dyDescent="0.2">
      <c r="A4343">
        <v>10010867</v>
      </c>
      <c r="B4343">
        <v>22429197</v>
      </c>
      <c r="C4343">
        <v>1</v>
      </c>
      <c r="D4343" s="1" t="s">
        <v>1682</v>
      </c>
      <c r="E4343">
        <v>10</v>
      </c>
    </row>
    <row r="4344" spans="1:5" x14ac:dyDescent="0.2">
      <c r="A4344">
        <v>10010867</v>
      </c>
      <c r="B4344">
        <v>22429197</v>
      </c>
      <c r="C4344">
        <v>17</v>
      </c>
      <c r="D4344" s="1" t="s">
        <v>378</v>
      </c>
      <c r="E4344">
        <v>10</v>
      </c>
    </row>
    <row r="4345" spans="1:5" x14ac:dyDescent="0.2">
      <c r="A4345">
        <v>10010867</v>
      </c>
      <c r="B4345">
        <v>22429197</v>
      </c>
      <c r="C4345">
        <v>18</v>
      </c>
      <c r="D4345" s="1" t="s">
        <v>1070</v>
      </c>
      <c r="E4345">
        <v>10</v>
      </c>
    </row>
    <row r="4346" spans="1:5" x14ac:dyDescent="0.2">
      <c r="A4346">
        <v>10010867</v>
      </c>
      <c r="B4346">
        <v>22429197</v>
      </c>
      <c r="C4346">
        <v>5</v>
      </c>
      <c r="D4346" s="1" t="s">
        <v>1683</v>
      </c>
      <c r="E4346">
        <v>10</v>
      </c>
    </row>
    <row r="4347" spans="1:5" x14ac:dyDescent="0.2">
      <c r="A4347">
        <v>10010867</v>
      </c>
      <c r="B4347">
        <v>22429197</v>
      </c>
      <c r="C4347">
        <v>4</v>
      </c>
      <c r="D4347" s="1" t="s">
        <v>609</v>
      </c>
      <c r="E4347">
        <v>10</v>
      </c>
    </row>
    <row r="4348" spans="1:5" x14ac:dyDescent="0.2">
      <c r="A4348">
        <v>10010867</v>
      </c>
      <c r="B4348">
        <v>22429197</v>
      </c>
      <c r="C4348">
        <v>10</v>
      </c>
      <c r="D4348" s="1" t="s">
        <v>1684</v>
      </c>
      <c r="E4348">
        <v>10</v>
      </c>
    </row>
    <row r="4349" spans="1:5" x14ac:dyDescent="0.2">
      <c r="A4349">
        <v>10010867</v>
      </c>
      <c r="B4349">
        <v>22429197</v>
      </c>
      <c r="C4349">
        <v>21</v>
      </c>
      <c r="D4349" s="1" t="s">
        <v>1103</v>
      </c>
      <c r="E4349">
        <v>10</v>
      </c>
    </row>
    <row r="4350" spans="1:5" x14ac:dyDescent="0.2">
      <c r="A4350">
        <v>10010867</v>
      </c>
      <c r="B4350">
        <v>22429197</v>
      </c>
      <c r="C4350">
        <v>8</v>
      </c>
      <c r="D4350" s="1" t="s">
        <v>1676</v>
      </c>
      <c r="E4350">
        <v>10</v>
      </c>
    </row>
    <row r="4351" spans="1:5" x14ac:dyDescent="0.2">
      <c r="A4351">
        <v>10010867</v>
      </c>
      <c r="B4351">
        <v>22429197</v>
      </c>
      <c r="C4351">
        <v>23</v>
      </c>
      <c r="D4351" s="1" t="s">
        <v>522</v>
      </c>
      <c r="E4351">
        <v>10</v>
      </c>
    </row>
    <row r="4352" spans="1:5" x14ac:dyDescent="0.2">
      <c r="A4352">
        <v>10010867</v>
      </c>
      <c r="B4352">
        <v>22429197</v>
      </c>
      <c r="C4352">
        <v>11</v>
      </c>
      <c r="D4352" s="1" t="s">
        <v>374</v>
      </c>
      <c r="E4352">
        <v>10</v>
      </c>
    </row>
    <row r="4353" spans="1:5" x14ac:dyDescent="0.2">
      <c r="A4353">
        <v>10010867</v>
      </c>
      <c r="B4353">
        <v>22196214</v>
      </c>
      <c r="C4353">
        <v>9</v>
      </c>
      <c r="D4353" s="1" t="s">
        <v>1685</v>
      </c>
      <c r="E4353">
        <v>10</v>
      </c>
    </row>
    <row r="4354" spans="1:5" x14ac:dyDescent="0.2">
      <c r="A4354">
        <v>10010867</v>
      </c>
      <c r="B4354">
        <v>22196214</v>
      </c>
      <c r="C4354">
        <v>7</v>
      </c>
      <c r="D4354" s="1" t="s">
        <v>1686</v>
      </c>
      <c r="E4354">
        <v>10</v>
      </c>
    </row>
    <row r="4355" spans="1:5" x14ac:dyDescent="0.2">
      <c r="A4355">
        <v>10010867</v>
      </c>
      <c r="B4355">
        <v>22196214</v>
      </c>
      <c r="C4355">
        <v>6</v>
      </c>
      <c r="D4355" s="1" t="s">
        <v>1687</v>
      </c>
      <c r="E4355">
        <v>10</v>
      </c>
    </row>
    <row r="4356" spans="1:5" x14ac:dyDescent="0.2">
      <c r="A4356">
        <v>10010867</v>
      </c>
      <c r="B4356">
        <v>22196214</v>
      </c>
      <c r="C4356">
        <v>3</v>
      </c>
      <c r="D4356" s="1" t="s">
        <v>1688</v>
      </c>
      <c r="E4356">
        <v>10</v>
      </c>
    </row>
    <row r="4357" spans="1:5" x14ac:dyDescent="0.2">
      <c r="A4357">
        <v>10010867</v>
      </c>
      <c r="B4357">
        <v>22196214</v>
      </c>
      <c r="C4357">
        <v>10</v>
      </c>
      <c r="D4357" s="1" t="s">
        <v>1674</v>
      </c>
      <c r="E4357">
        <v>10</v>
      </c>
    </row>
    <row r="4358" spans="1:5" x14ac:dyDescent="0.2">
      <c r="A4358">
        <v>10010867</v>
      </c>
      <c r="B4358">
        <v>22196214</v>
      </c>
      <c r="C4358">
        <v>1</v>
      </c>
      <c r="D4358" s="1" t="s">
        <v>432</v>
      </c>
      <c r="E4358">
        <v>10</v>
      </c>
    </row>
    <row r="4359" spans="1:5" x14ac:dyDescent="0.2">
      <c r="A4359">
        <v>10010867</v>
      </c>
      <c r="B4359">
        <v>22196214</v>
      </c>
      <c r="C4359">
        <v>2</v>
      </c>
      <c r="D4359" s="1" t="s">
        <v>443</v>
      </c>
      <c r="E4359">
        <v>10</v>
      </c>
    </row>
    <row r="4360" spans="1:5" x14ac:dyDescent="0.2">
      <c r="A4360">
        <v>10010867</v>
      </c>
      <c r="B4360">
        <v>22196214</v>
      </c>
      <c r="C4360">
        <v>4</v>
      </c>
      <c r="D4360" s="1" t="s">
        <v>1671</v>
      </c>
      <c r="E4360">
        <v>10</v>
      </c>
    </row>
    <row r="4361" spans="1:5" x14ac:dyDescent="0.2">
      <c r="A4361">
        <v>10010867</v>
      </c>
      <c r="B4361">
        <v>22196214</v>
      </c>
      <c r="C4361">
        <v>8</v>
      </c>
      <c r="D4361" s="1" t="s">
        <v>519</v>
      </c>
      <c r="E4361">
        <v>10</v>
      </c>
    </row>
    <row r="4362" spans="1:5" x14ac:dyDescent="0.2">
      <c r="A4362">
        <v>10010867</v>
      </c>
      <c r="B4362">
        <v>22196214</v>
      </c>
      <c r="C4362">
        <v>11</v>
      </c>
      <c r="D4362" s="1" t="s">
        <v>1689</v>
      </c>
      <c r="E4362">
        <v>10</v>
      </c>
    </row>
    <row r="4363" spans="1:5" x14ac:dyDescent="0.2">
      <c r="A4363">
        <v>10010867</v>
      </c>
      <c r="B4363">
        <v>22196214</v>
      </c>
      <c r="C4363">
        <v>5</v>
      </c>
      <c r="D4363" s="1" t="s">
        <v>1647</v>
      </c>
      <c r="E4363">
        <v>10</v>
      </c>
    </row>
    <row r="4364" spans="1:5" x14ac:dyDescent="0.2">
      <c r="A4364">
        <v>10002428</v>
      </c>
      <c r="B4364">
        <v>20321825</v>
      </c>
      <c r="C4364">
        <v>13</v>
      </c>
      <c r="D4364" s="1" t="s">
        <v>296</v>
      </c>
      <c r="E4364">
        <v>9</v>
      </c>
    </row>
    <row r="4365" spans="1:5" x14ac:dyDescent="0.2">
      <c r="A4365">
        <v>10002428</v>
      </c>
      <c r="B4365">
        <v>20321825</v>
      </c>
      <c r="C4365">
        <v>4</v>
      </c>
      <c r="D4365" s="1" t="s">
        <v>1690</v>
      </c>
      <c r="E4365">
        <v>9</v>
      </c>
    </row>
    <row r="4366" spans="1:5" x14ac:dyDescent="0.2">
      <c r="A4366">
        <v>10002428</v>
      </c>
      <c r="B4366">
        <v>20321825</v>
      </c>
      <c r="C4366">
        <v>15</v>
      </c>
      <c r="D4366" s="1" t="s">
        <v>275</v>
      </c>
      <c r="E4366">
        <v>9</v>
      </c>
    </row>
    <row r="4367" spans="1:5" x14ac:dyDescent="0.2">
      <c r="A4367">
        <v>10002428</v>
      </c>
      <c r="B4367">
        <v>20321825</v>
      </c>
      <c r="C4367">
        <v>3</v>
      </c>
      <c r="D4367" s="1" t="s">
        <v>1253</v>
      </c>
      <c r="E4367">
        <v>9</v>
      </c>
    </row>
    <row r="4368" spans="1:5" x14ac:dyDescent="0.2">
      <c r="A4368">
        <v>10002428</v>
      </c>
      <c r="B4368">
        <v>20321825</v>
      </c>
      <c r="C4368">
        <v>6</v>
      </c>
      <c r="D4368" s="1" t="s">
        <v>1451</v>
      </c>
      <c r="E4368">
        <v>9</v>
      </c>
    </row>
    <row r="4369" spans="1:5" x14ac:dyDescent="0.2">
      <c r="A4369">
        <v>10002428</v>
      </c>
      <c r="B4369">
        <v>20321825</v>
      </c>
      <c r="C4369">
        <v>9</v>
      </c>
      <c r="D4369" s="1" t="s">
        <v>1691</v>
      </c>
      <c r="E4369">
        <v>9</v>
      </c>
    </row>
    <row r="4370" spans="1:5" x14ac:dyDescent="0.2">
      <c r="A4370">
        <v>10002428</v>
      </c>
      <c r="B4370">
        <v>20321825</v>
      </c>
      <c r="C4370">
        <v>12</v>
      </c>
      <c r="D4370" s="1" t="s">
        <v>1343</v>
      </c>
      <c r="E4370">
        <v>9</v>
      </c>
    </row>
    <row r="4371" spans="1:5" x14ac:dyDescent="0.2">
      <c r="A4371">
        <v>10002428</v>
      </c>
      <c r="B4371">
        <v>20321825</v>
      </c>
      <c r="C4371">
        <v>14</v>
      </c>
      <c r="D4371" s="1" t="s">
        <v>388</v>
      </c>
      <c r="E4371">
        <v>9</v>
      </c>
    </row>
    <row r="4372" spans="1:5" x14ac:dyDescent="0.2">
      <c r="A4372">
        <v>10002428</v>
      </c>
      <c r="B4372">
        <v>20321825</v>
      </c>
      <c r="C4372">
        <v>7</v>
      </c>
      <c r="D4372" s="1" t="s">
        <v>725</v>
      </c>
      <c r="E4372">
        <v>9</v>
      </c>
    </row>
    <row r="4373" spans="1:5" x14ac:dyDescent="0.2">
      <c r="A4373">
        <v>10002428</v>
      </c>
      <c r="B4373">
        <v>20321825</v>
      </c>
      <c r="C4373">
        <v>11</v>
      </c>
      <c r="D4373" s="1" t="s">
        <v>272</v>
      </c>
      <c r="E4373">
        <v>9</v>
      </c>
    </row>
    <row r="4374" spans="1:5" x14ac:dyDescent="0.2">
      <c r="A4374">
        <v>10002428</v>
      </c>
      <c r="B4374">
        <v>20321825</v>
      </c>
      <c r="C4374">
        <v>8</v>
      </c>
      <c r="D4374" s="1" t="s">
        <v>771</v>
      </c>
      <c r="E4374">
        <v>9</v>
      </c>
    </row>
    <row r="4375" spans="1:5" x14ac:dyDescent="0.2">
      <c r="A4375">
        <v>10002428</v>
      </c>
      <c r="B4375">
        <v>20321825</v>
      </c>
      <c r="C4375">
        <v>5</v>
      </c>
      <c r="D4375" s="1" t="s">
        <v>852</v>
      </c>
      <c r="E4375">
        <v>9</v>
      </c>
    </row>
    <row r="4376" spans="1:5" x14ac:dyDescent="0.2">
      <c r="A4376">
        <v>10002428</v>
      </c>
      <c r="B4376">
        <v>20321825</v>
      </c>
      <c r="C4376">
        <v>1</v>
      </c>
      <c r="D4376" s="1" t="s">
        <v>516</v>
      </c>
      <c r="E4376">
        <v>9</v>
      </c>
    </row>
    <row r="4377" spans="1:5" x14ac:dyDescent="0.2">
      <c r="A4377">
        <v>10002428</v>
      </c>
      <c r="B4377">
        <v>20321825</v>
      </c>
      <c r="C4377">
        <v>2</v>
      </c>
      <c r="D4377" s="1" t="s">
        <v>511</v>
      </c>
      <c r="E4377">
        <v>9</v>
      </c>
    </row>
    <row r="4378" spans="1:5" x14ac:dyDescent="0.2">
      <c r="A4378">
        <v>10002428</v>
      </c>
      <c r="B4378">
        <v>20321825</v>
      </c>
      <c r="C4378">
        <v>10</v>
      </c>
      <c r="D4378" s="1" t="s">
        <v>1692</v>
      </c>
      <c r="E4378">
        <v>9</v>
      </c>
    </row>
    <row r="4379" spans="1:5" x14ac:dyDescent="0.2">
      <c r="A4379">
        <v>10002428</v>
      </c>
      <c r="B4379">
        <v>26549334</v>
      </c>
      <c r="C4379">
        <v>3</v>
      </c>
      <c r="D4379" s="1" t="s">
        <v>1693</v>
      </c>
      <c r="E4379">
        <v>10</v>
      </c>
    </row>
    <row r="4380" spans="1:5" x14ac:dyDescent="0.2">
      <c r="A4380">
        <v>10002428</v>
      </c>
      <c r="B4380">
        <v>26549334</v>
      </c>
      <c r="C4380">
        <v>9</v>
      </c>
      <c r="D4380" s="1" t="s">
        <v>1694</v>
      </c>
      <c r="E4380">
        <v>10</v>
      </c>
    </row>
    <row r="4381" spans="1:5" x14ac:dyDescent="0.2">
      <c r="A4381">
        <v>10002428</v>
      </c>
      <c r="B4381">
        <v>26549334</v>
      </c>
      <c r="C4381">
        <v>1</v>
      </c>
      <c r="D4381" s="1" t="s">
        <v>1634</v>
      </c>
      <c r="E4381">
        <v>10</v>
      </c>
    </row>
    <row r="4382" spans="1:5" x14ac:dyDescent="0.2">
      <c r="A4382">
        <v>10002428</v>
      </c>
      <c r="B4382">
        <v>26549334</v>
      </c>
      <c r="C4382">
        <v>10</v>
      </c>
      <c r="D4382" s="1" t="s">
        <v>1364</v>
      </c>
      <c r="E4382">
        <v>10</v>
      </c>
    </row>
    <row r="4383" spans="1:5" x14ac:dyDescent="0.2">
      <c r="A4383">
        <v>10002428</v>
      </c>
      <c r="B4383">
        <v>26549334</v>
      </c>
      <c r="C4383">
        <v>11</v>
      </c>
      <c r="D4383" s="1" t="s">
        <v>1695</v>
      </c>
      <c r="E4383">
        <v>10</v>
      </c>
    </row>
    <row r="4384" spans="1:5" x14ac:dyDescent="0.2">
      <c r="A4384">
        <v>10002428</v>
      </c>
      <c r="B4384">
        <v>26549334</v>
      </c>
      <c r="C4384">
        <v>6</v>
      </c>
      <c r="D4384" s="1" t="s">
        <v>1696</v>
      </c>
      <c r="E4384">
        <v>10</v>
      </c>
    </row>
    <row r="4385" spans="1:5" x14ac:dyDescent="0.2">
      <c r="A4385">
        <v>10002428</v>
      </c>
      <c r="B4385">
        <v>26549334</v>
      </c>
      <c r="C4385">
        <v>14</v>
      </c>
      <c r="D4385" s="1" t="s">
        <v>379</v>
      </c>
      <c r="E4385">
        <v>10</v>
      </c>
    </row>
    <row r="4386" spans="1:5" x14ac:dyDescent="0.2">
      <c r="A4386">
        <v>10002428</v>
      </c>
      <c r="B4386">
        <v>26549334</v>
      </c>
      <c r="C4386">
        <v>16</v>
      </c>
      <c r="D4386" s="1" t="s">
        <v>1697</v>
      </c>
      <c r="E4386">
        <v>10</v>
      </c>
    </row>
    <row r="4387" spans="1:5" x14ac:dyDescent="0.2">
      <c r="A4387">
        <v>10002428</v>
      </c>
      <c r="B4387">
        <v>26549334</v>
      </c>
      <c r="C4387">
        <v>15</v>
      </c>
      <c r="D4387" s="1" t="s">
        <v>1698</v>
      </c>
      <c r="E4387">
        <v>10</v>
      </c>
    </row>
    <row r="4388" spans="1:5" x14ac:dyDescent="0.2">
      <c r="A4388">
        <v>10002428</v>
      </c>
      <c r="B4388">
        <v>26549334</v>
      </c>
      <c r="C4388">
        <v>13</v>
      </c>
      <c r="D4388" s="1" t="s">
        <v>1699</v>
      </c>
      <c r="E4388">
        <v>10</v>
      </c>
    </row>
    <row r="4389" spans="1:5" x14ac:dyDescent="0.2">
      <c r="A4389">
        <v>10002428</v>
      </c>
      <c r="B4389">
        <v>26549334</v>
      </c>
      <c r="C4389">
        <v>12</v>
      </c>
      <c r="D4389" s="1" t="s">
        <v>560</v>
      </c>
      <c r="E4389">
        <v>10</v>
      </c>
    </row>
    <row r="4390" spans="1:5" x14ac:dyDescent="0.2">
      <c r="A4390">
        <v>10002428</v>
      </c>
      <c r="B4390">
        <v>26549334</v>
      </c>
      <c r="C4390">
        <v>4</v>
      </c>
      <c r="D4390" s="1" t="s">
        <v>1700</v>
      </c>
      <c r="E4390">
        <v>10</v>
      </c>
    </row>
    <row r="4391" spans="1:5" x14ac:dyDescent="0.2">
      <c r="A4391">
        <v>10002428</v>
      </c>
      <c r="B4391">
        <v>26549334</v>
      </c>
      <c r="C4391">
        <v>8</v>
      </c>
      <c r="D4391" s="1" t="s">
        <v>1701</v>
      </c>
      <c r="E4391">
        <v>10</v>
      </c>
    </row>
    <row r="4392" spans="1:5" x14ac:dyDescent="0.2">
      <c r="A4392">
        <v>10002428</v>
      </c>
      <c r="B4392">
        <v>26549334</v>
      </c>
      <c r="C4392">
        <v>2</v>
      </c>
      <c r="D4392" s="1" t="s">
        <v>1702</v>
      </c>
      <c r="E4392">
        <v>10</v>
      </c>
    </row>
    <row r="4393" spans="1:5" x14ac:dyDescent="0.2">
      <c r="A4393">
        <v>10002428</v>
      </c>
      <c r="B4393">
        <v>26549334</v>
      </c>
      <c r="C4393">
        <v>5</v>
      </c>
      <c r="D4393" s="1" t="s">
        <v>441</v>
      </c>
      <c r="E4393">
        <v>10</v>
      </c>
    </row>
    <row r="4394" spans="1:5" x14ac:dyDescent="0.2">
      <c r="A4394">
        <v>10002428</v>
      </c>
      <c r="B4394">
        <v>26549334</v>
      </c>
      <c r="C4394">
        <v>7</v>
      </c>
      <c r="D4394" s="1" t="s">
        <v>1703</v>
      </c>
      <c r="E4394">
        <v>10</v>
      </c>
    </row>
    <row r="4395" spans="1:5" x14ac:dyDescent="0.2">
      <c r="A4395">
        <v>10002428</v>
      </c>
      <c r="B4395">
        <v>28295257</v>
      </c>
      <c r="C4395">
        <v>3</v>
      </c>
      <c r="D4395" s="1" t="s">
        <v>1704</v>
      </c>
      <c r="E4395">
        <v>10</v>
      </c>
    </row>
    <row r="4396" spans="1:5" x14ac:dyDescent="0.2">
      <c r="A4396">
        <v>10002428</v>
      </c>
      <c r="B4396">
        <v>28295257</v>
      </c>
      <c r="C4396">
        <v>2</v>
      </c>
      <c r="D4396" s="1" t="s">
        <v>615</v>
      </c>
      <c r="E4396">
        <v>10</v>
      </c>
    </row>
    <row r="4397" spans="1:5" x14ac:dyDescent="0.2">
      <c r="A4397">
        <v>10002428</v>
      </c>
      <c r="B4397">
        <v>28295257</v>
      </c>
      <c r="C4397">
        <v>5</v>
      </c>
      <c r="D4397" s="1" t="s">
        <v>1188</v>
      </c>
      <c r="E4397">
        <v>10</v>
      </c>
    </row>
    <row r="4398" spans="1:5" x14ac:dyDescent="0.2">
      <c r="A4398">
        <v>10002428</v>
      </c>
      <c r="B4398">
        <v>28295257</v>
      </c>
      <c r="C4398">
        <v>1</v>
      </c>
      <c r="D4398" s="1" t="s">
        <v>1705</v>
      </c>
      <c r="E4398">
        <v>10</v>
      </c>
    </row>
    <row r="4399" spans="1:5" x14ac:dyDescent="0.2">
      <c r="A4399">
        <v>10002428</v>
      </c>
      <c r="B4399">
        <v>28295257</v>
      </c>
      <c r="C4399">
        <v>7</v>
      </c>
      <c r="D4399" s="1" t="s">
        <v>379</v>
      </c>
      <c r="E4399">
        <v>10</v>
      </c>
    </row>
    <row r="4400" spans="1:5" x14ac:dyDescent="0.2">
      <c r="A4400">
        <v>10002428</v>
      </c>
      <c r="B4400">
        <v>28295257</v>
      </c>
      <c r="C4400">
        <v>14</v>
      </c>
      <c r="D4400" s="1" t="s">
        <v>890</v>
      </c>
      <c r="E4400">
        <v>10</v>
      </c>
    </row>
    <row r="4401" spans="1:5" x14ac:dyDescent="0.2">
      <c r="A4401">
        <v>10002428</v>
      </c>
      <c r="B4401">
        <v>28295257</v>
      </c>
      <c r="C4401">
        <v>11</v>
      </c>
      <c r="D4401" s="1" t="s">
        <v>1584</v>
      </c>
      <c r="E4401">
        <v>10</v>
      </c>
    </row>
    <row r="4402" spans="1:5" x14ac:dyDescent="0.2">
      <c r="A4402">
        <v>10002428</v>
      </c>
      <c r="B4402">
        <v>28295257</v>
      </c>
      <c r="C4402">
        <v>6</v>
      </c>
      <c r="D4402" s="1" t="s">
        <v>428</v>
      </c>
      <c r="E4402">
        <v>10</v>
      </c>
    </row>
    <row r="4403" spans="1:5" x14ac:dyDescent="0.2">
      <c r="A4403">
        <v>10002428</v>
      </c>
      <c r="B4403">
        <v>28295257</v>
      </c>
      <c r="C4403">
        <v>4</v>
      </c>
      <c r="D4403" s="1" t="s">
        <v>1149</v>
      </c>
      <c r="E4403">
        <v>10</v>
      </c>
    </row>
    <row r="4404" spans="1:5" x14ac:dyDescent="0.2">
      <c r="A4404">
        <v>10002428</v>
      </c>
      <c r="B4404">
        <v>28295257</v>
      </c>
      <c r="C4404">
        <v>9</v>
      </c>
      <c r="D4404" s="1" t="s">
        <v>560</v>
      </c>
      <c r="E4404">
        <v>10</v>
      </c>
    </row>
    <row r="4405" spans="1:5" x14ac:dyDescent="0.2">
      <c r="A4405">
        <v>10002428</v>
      </c>
      <c r="B4405">
        <v>28295257</v>
      </c>
      <c r="C4405">
        <v>13</v>
      </c>
      <c r="D4405" s="1" t="s">
        <v>925</v>
      </c>
      <c r="E4405">
        <v>10</v>
      </c>
    </row>
    <row r="4406" spans="1:5" x14ac:dyDescent="0.2">
      <c r="A4406">
        <v>10002428</v>
      </c>
      <c r="B4406">
        <v>28295257</v>
      </c>
      <c r="C4406">
        <v>8</v>
      </c>
      <c r="D4406" s="1" t="s">
        <v>1070</v>
      </c>
      <c r="E4406">
        <v>10</v>
      </c>
    </row>
    <row r="4407" spans="1:5" x14ac:dyDescent="0.2">
      <c r="A4407">
        <v>10002428</v>
      </c>
      <c r="B4407">
        <v>28295257</v>
      </c>
      <c r="C4407">
        <v>10</v>
      </c>
      <c r="D4407" s="1" t="s">
        <v>563</v>
      </c>
      <c r="E4407">
        <v>10</v>
      </c>
    </row>
    <row r="4408" spans="1:5" x14ac:dyDescent="0.2">
      <c r="A4408">
        <v>10002428</v>
      </c>
      <c r="B4408">
        <v>28295257</v>
      </c>
      <c r="C4408">
        <v>12</v>
      </c>
      <c r="D4408" s="1" t="s">
        <v>1703</v>
      </c>
      <c r="E4408">
        <v>10</v>
      </c>
    </row>
    <row r="4409" spans="1:5" x14ac:dyDescent="0.2">
      <c r="A4409">
        <v>10002428</v>
      </c>
      <c r="B4409">
        <v>28676446</v>
      </c>
      <c r="C4409">
        <v>3</v>
      </c>
      <c r="D4409" s="1" t="s">
        <v>296</v>
      </c>
      <c r="E4409">
        <v>9</v>
      </c>
    </row>
    <row r="4410" spans="1:5" x14ac:dyDescent="0.2">
      <c r="A4410">
        <v>10002428</v>
      </c>
      <c r="B4410">
        <v>28676446</v>
      </c>
      <c r="C4410">
        <v>6</v>
      </c>
      <c r="D4410" s="1" t="s">
        <v>1691</v>
      </c>
      <c r="E4410">
        <v>9</v>
      </c>
    </row>
    <row r="4411" spans="1:5" x14ac:dyDescent="0.2">
      <c r="A4411">
        <v>10002428</v>
      </c>
      <c r="B4411">
        <v>28676446</v>
      </c>
      <c r="C4411">
        <v>7</v>
      </c>
      <c r="D4411" s="1" t="s">
        <v>259</v>
      </c>
      <c r="E4411">
        <v>9</v>
      </c>
    </row>
    <row r="4412" spans="1:5" x14ac:dyDescent="0.2">
      <c r="A4412">
        <v>10002428</v>
      </c>
      <c r="B4412">
        <v>28676446</v>
      </c>
      <c r="C4412">
        <v>4</v>
      </c>
      <c r="D4412" s="1" t="s">
        <v>1706</v>
      </c>
      <c r="E4412">
        <v>9</v>
      </c>
    </row>
    <row r="4413" spans="1:5" x14ac:dyDescent="0.2">
      <c r="A4413">
        <v>10002428</v>
      </c>
      <c r="B4413">
        <v>28676446</v>
      </c>
      <c r="C4413">
        <v>8</v>
      </c>
      <c r="D4413" s="1" t="s">
        <v>1707</v>
      </c>
      <c r="E4413">
        <v>9</v>
      </c>
    </row>
    <row r="4414" spans="1:5" x14ac:dyDescent="0.2">
      <c r="A4414">
        <v>10002428</v>
      </c>
      <c r="B4414">
        <v>28676446</v>
      </c>
      <c r="C4414">
        <v>2</v>
      </c>
      <c r="D4414" s="1" t="s">
        <v>1708</v>
      </c>
      <c r="E4414">
        <v>9</v>
      </c>
    </row>
    <row r="4415" spans="1:5" x14ac:dyDescent="0.2">
      <c r="A4415">
        <v>10002428</v>
      </c>
      <c r="B4415">
        <v>28676446</v>
      </c>
      <c r="C4415">
        <v>5</v>
      </c>
      <c r="D4415" s="1" t="s">
        <v>275</v>
      </c>
      <c r="E4415">
        <v>9</v>
      </c>
    </row>
    <row r="4416" spans="1:5" x14ac:dyDescent="0.2">
      <c r="A4416">
        <v>10002428</v>
      </c>
      <c r="B4416">
        <v>28676446</v>
      </c>
      <c r="C4416">
        <v>1</v>
      </c>
      <c r="D4416" s="1" t="s">
        <v>1709</v>
      </c>
      <c r="E4416">
        <v>9</v>
      </c>
    </row>
    <row r="4417" spans="1:5" x14ac:dyDescent="0.2">
      <c r="A4417">
        <v>10002428</v>
      </c>
      <c r="B4417">
        <v>28676446</v>
      </c>
      <c r="C4417">
        <v>9</v>
      </c>
      <c r="D4417" s="1" t="s">
        <v>811</v>
      </c>
      <c r="E4417">
        <v>9</v>
      </c>
    </row>
    <row r="4418" spans="1:5" x14ac:dyDescent="0.2">
      <c r="A4418">
        <v>10002428</v>
      </c>
      <c r="B4418">
        <v>23473524</v>
      </c>
      <c r="C4418">
        <v>18</v>
      </c>
      <c r="D4418" s="1" t="s">
        <v>252</v>
      </c>
      <c r="E4418">
        <v>9</v>
      </c>
    </row>
    <row r="4419" spans="1:5" x14ac:dyDescent="0.2">
      <c r="A4419">
        <v>10002428</v>
      </c>
      <c r="B4419">
        <v>23473524</v>
      </c>
      <c r="C4419">
        <v>5</v>
      </c>
      <c r="D4419" s="1" t="s">
        <v>1253</v>
      </c>
      <c r="E4419">
        <v>9</v>
      </c>
    </row>
    <row r="4420" spans="1:5" x14ac:dyDescent="0.2">
      <c r="A4420">
        <v>10002428</v>
      </c>
      <c r="B4420">
        <v>23473524</v>
      </c>
      <c r="C4420">
        <v>4</v>
      </c>
      <c r="D4420" s="1" t="s">
        <v>409</v>
      </c>
      <c r="E4420">
        <v>9</v>
      </c>
    </row>
    <row r="4421" spans="1:5" x14ac:dyDescent="0.2">
      <c r="A4421">
        <v>10002428</v>
      </c>
      <c r="B4421">
        <v>23473524</v>
      </c>
      <c r="C4421">
        <v>9</v>
      </c>
      <c r="D4421" s="1" t="s">
        <v>293</v>
      </c>
      <c r="E4421">
        <v>9</v>
      </c>
    </row>
    <row r="4422" spans="1:5" x14ac:dyDescent="0.2">
      <c r="A4422">
        <v>10002428</v>
      </c>
      <c r="B4422">
        <v>23473524</v>
      </c>
      <c r="C4422">
        <v>17</v>
      </c>
      <c r="D4422" s="1" t="s">
        <v>275</v>
      </c>
      <c r="E4422">
        <v>9</v>
      </c>
    </row>
    <row r="4423" spans="1:5" x14ac:dyDescent="0.2">
      <c r="A4423">
        <v>10002428</v>
      </c>
      <c r="B4423">
        <v>23473524</v>
      </c>
      <c r="C4423">
        <v>3</v>
      </c>
      <c r="D4423" s="1" t="s">
        <v>1710</v>
      </c>
      <c r="E4423">
        <v>9</v>
      </c>
    </row>
    <row r="4424" spans="1:5" x14ac:dyDescent="0.2">
      <c r="A4424">
        <v>10002428</v>
      </c>
      <c r="B4424">
        <v>23473524</v>
      </c>
      <c r="C4424">
        <v>8</v>
      </c>
      <c r="D4424" s="1" t="s">
        <v>272</v>
      </c>
      <c r="E4424">
        <v>9</v>
      </c>
    </row>
    <row r="4425" spans="1:5" x14ac:dyDescent="0.2">
      <c r="A4425">
        <v>10002428</v>
      </c>
      <c r="B4425">
        <v>23473524</v>
      </c>
      <c r="C4425">
        <v>2</v>
      </c>
      <c r="D4425" s="1" t="s">
        <v>516</v>
      </c>
      <c r="E4425">
        <v>9</v>
      </c>
    </row>
    <row r="4426" spans="1:5" x14ac:dyDescent="0.2">
      <c r="A4426">
        <v>10002428</v>
      </c>
      <c r="B4426">
        <v>23473524</v>
      </c>
      <c r="C4426">
        <v>7</v>
      </c>
      <c r="D4426" s="1" t="s">
        <v>649</v>
      </c>
      <c r="E4426">
        <v>9</v>
      </c>
    </row>
    <row r="4427" spans="1:5" x14ac:dyDescent="0.2">
      <c r="A4427">
        <v>10002428</v>
      </c>
      <c r="B4427">
        <v>23473524</v>
      </c>
      <c r="C4427">
        <v>10</v>
      </c>
      <c r="D4427" s="1" t="s">
        <v>1668</v>
      </c>
      <c r="E4427">
        <v>9</v>
      </c>
    </row>
    <row r="4428" spans="1:5" x14ac:dyDescent="0.2">
      <c r="A4428">
        <v>10002428</v>
      </c>
      <c r="B4428">
        <v>23473524</v>
      </c>
      <c r="C4428">
        <v>12</v>
      </c>
      <c r="D4428" s="1" t="s">
        <v>1343</v>
      </c>
      <c r="E4428">
        <v>9</v>
      </c>
    </row>
    <row r="4429" spans="1:5" x14ac:dyDescent="0.2">
      <c r="A4429">
        <v>10002428</v>
      </c>
      <c r="B4429">
        <v>23473524</v>
      </c>
      <c r="C4429">
        <v>15</v>
      </c>
      <c r="D4429" s="1" t="s">
        <v>296</v>
      </c>
      <c r="E4429">
        <v>9</v>
      </c>
    </row>
    <row r="4430" spans="1:5" x14ac:dyDescent="0.2">
      <c r="A4430">
        <v>10002428</v>
      </c>
      <c r="B4430">
        <v>23473524</v>
      </c>
      <c r="C4430">
        <v>13</v>
      </c>
      <c r="D4430" s="1" t="s">
        <v>1691</v>
      </c>
      <c r="E4430">
        <v>9</v>
      </c>
    </row>
    <row r="4431" spans="1:5" x14ac:dyDescent="0.2">
      <c r="A4431">
        <v>10002428</v>
      </c>
      <c r="B4431">
        <v>23473524</v>
      </c>
      <c r="C4431">
        <v>14</v>
      </c>
      <c r="D4431" s="1" t="s">
        <v>385</v>
      </c>
      <c r="E4431">
        <v>9</v>
      </c>
    </row>
    <row r="4432" spans="1:5" x14ac:dyDescent="0.2">
      <c r="A4432">
        <v>10002428</v>
      </c>
      <c r="B4432">
        <v>23473524</v>
      </c>
      <c r="C4432">
        <v>1</v>
      </c>
      <c r="D4432" s="1" t="s">
        <v>1711</v>
      </c>
      <c r="E4432">
        <v>9</v>
      </c>
    </row>
    <row r="4433" spans="1:5" x14ac:dyDescent="0.2">
      <c r="A4433">
        <v>10002428</v>
      </c>
      <c r="B4433">
        <v>23473524</v>
      </c>
      <c r="C4433">
        <v>6</v>
      </c>
      <c r="D4433" s="1" t="s">
        <v>1002</v>
      </c>
      <c r="E4433">
        <v>9</v>
      </c>
    </row>
    <row r="4434" spans="1:5" x14ac:dyDescent="0.2">
      <c r="A4434">
        <v>10002428</v>
      </c>
      <c r="B4434">
        <v>23473524</v>
      </c>
      <c r="C4434">
        <v>11</v>
      </c>
      <c r="D4434" s="1" t="s">
        <v>1020</v>
      </c>
      <c r="E4434">
        <v>9</v>
      </c>
    </row>
    <row r="4435" spans="1:5" x14ac:dyDescent="0.2">
      <c r="A4435">
        <v>10002428</v>
      </c>
      <c r="B4435">
        <v>23473524</v>
      </c>
      <c r="C4435">
        <v>16</v>
      </c>
      <c r="D4435" s="1" t="s">
        <v>388</v>
      </c>
      <c r="E4435">
        <v>9</v>
      </c>
    </row>
    <row r="4436" spans="1:5" x14ac:dyDescent="0.2">
      <c r="A4436">
        <v>10002428</v>
      </c>
      <c r="B4436">
        <v>25797028</v>
      </c>
      <c r="C4436">
        <v>2</v>
      </c>
      <c r="D4436" s="1" t="s">
        <v>409</v>
      </c>
      <c r="E4436">
        <v>9</v>
      </c>
    </row>
    <row r="4437" spans="1:5" x14ac:dyDescent="0.2">
      <c r="A4437">
        <v>10002428</v>
      </c>
      <c r="B4437">
        <v>25797028</v>
      </c>
      <c r="C4437">
        <v>5</v>
      </c>
      <c r="D4437" s="1" t="s">
        <v>1691</v>
      </c>
      <c r="E4437">
        <v>9</v>
      </c>
    </row>
    <row r="4438" spans="1:5" x14ac:dyDescent="0.2">
      <c r="A4438">
        <v>10002428</v>
      </c>
      <c r="B4438">
        <v>25797028</v>
      </c>
      <c r="C4438">
        <v>6</v>
      </c>
      <c r="D4438" s="1" t="s">
        <v>388</v>
      </c>
      <c r="E4438">
        <v>9</v>
      </c>
    </row>
    <row r="4439" spans="1:5" x14ac:dyDescent="0.2">
      <c r="A4439">
        <v>10002428</v>
      </c>
      <c r="B4439">
        <v>25797028</v>
      </c>
      <c r="C4439">
        <v>4</v>
      </c>
      <c r="D4439" s="1" t="s">
        <v>530</v>
      </c>
      <c r="E4439">
        <v>9</v>
      </c>
    </row>
    <row r="4440" spans="1:5" x14ac:dyDescent="0.2">
      <c r="A4440">
        <v>10002428</v>
      </c>
      <c r="B4440">
        <v>25797028</v>
      </c>
      <c r="C4440">
        <v>8</v>
      </c>
      <c r="D4440" s="1" t="s">
        <v>272</v>
      </c>
      <c r="E4440">
        <v>9</v>
      </c>
    </row>
    <row r="4441" spans="1:5" x14ac:dyDescent="0.2">
      <c r="A4441">
        <v>10002428</v>
      </c>
      <c r="B4441">
        <v>25797028</v>
      </c>
      <c r="C4441">
        <v>3</v>
      </c>
      <c r="D4441" s="1" t="s">
        <v>395</v>
      </c>
      <c r="E4441">
        <v>9</v>
      </c>
    </row>
    <row r="4442" spans="1:5" x14ac:dyDescent="0.2">
      <c r="A4442">
        <v>10002428</v>
      </c>
      <c r="B4442">
        <v>25797028</v>
      </c>
      <c r="C4442">
        <v>1</v>
      </c>
      <c r="D4442" s="1" t="s">
        <v>465</v>
      </c>
      <c r="E4442">
        <v>9</v>
      </c>
    </row>
    <row r="4443" spans="1:5" x14ac:dyDescent="0.2">
      <c r="A4443">
        <v>10002428</v>
      </c>
      <c r="B4443">
        <v>25797028</v>
      </c>
      <c r="C4443">
        <v>7</v>
      </c>
      <c r="D4443" s="1" t="s">
        <v>296</v>
      </c>
      <c r="E4443">
        <v>9</v>
      </c>
    </row>
    <row r="4444" spans="1:5" x14ac:dyDescent="0.2">
      <c r="A4444">
        <v>10002428</v>
      </c>
      <c r="B4444">
        <v>28662225</v>
      </c>
      <c r="C4444">
        <v>27</v>
      </c>
      <c r="D4444" s="1" t="s">
        <v>1450</v>
      </c>
      <c r="E4444">
        <v>9</v>
      </c>
    </row>
    <row r="4445" spans="1:5" x14ac:dyDescent="0.2">
      <c r="A4445">
        <v>10002428</v>
      </c>
      <c r="B4445">
        <v>28662225</v>
      </c>
      <c r="C4445">
        <v>10</v>
      </c>
      <c r="D4445" s="1" t="s">
        <v>410</v>
      </c>
      <c r="E4445">
        <v>9</v>
      </c>
    </row>
    <row r="4446" spans="1:5" x14ac:dyDescent="0.2">
      <c r="A4446">
        <v>10002428</v>
      </c>
      <c r="B4446">
        <v>28662225</v>
      </c>
      <c r="C4446">
        <v>4</v>
      </c>
      <c r="D4446" s="1" t="s">
        <v>454</v>
      </c>
      <c r="E4446">
        <v>9</v>
      </c>
    </row>
    <row r="4447" spans="1:5" x14ac:dyDescent="0.2">
      <c r="A4447">
        <v>10002428</v>
      </c>
      <c r="B4447">
        <v>28662225</v>
      </c>
      <c r="C4447">
        <v>2</v>
      </c>
      <c r="D4447" s="1" t="s">
        <v>708</v>
      </c>
      <c r="E4447">
        <v>9</v>
      </c>
    </row>
    <row r="4448" spans="1:5" x14ac:dyDescent="0.2">
      <c r="A4448">
        <v>10002428</v>
      </c>
      <c r="B4448">
        <v>28662225</v>
      </c>
      <c r="C4448">
        <v>7</v>
      </c>
      <c r="D4448" s="1" t="s">
        <v>404</v>
      </c>
      <c r="E4448">
        <v>9</v>
      </c>
    </row>
    <row r="4449" spans="1:5" x14ac:dyDescent="0.2">
      <c r="A4449">
        <v>10002428</v>
      </c>
      <c r="B4449">
        <v>28662225</v>
      </c>
      <c r="C4449">
        <v>28</v>
      </c>
      <c r="D4449" s="1" t="s">
        <v>1267</v>
      </c>
      <c r="E4449">
        <v>9</v>
      </c>
    </row>
    <row r="4450" spans="1:5" x14ac:dyDescent="0.2">
      <c r="A4450">
        <v>10002428</v>
      </c>
      <c r="B4450">
        <v>28662225</v>
      </c>
      <c r="C4450">
        <v>32</v>
      </c>
      <c r="D4450" s="1" t="s">
        <v>510</v>
      </c>
      <c r="E4450">
        <v>9</v>
      </c>
    </row>
    <row r="4451" spans="1:5" x14ac:dyDescent="0.2">
      <c r="A4451">
        <v>10002428</v>
      </c>
      <c r="B4451">
        <v>28662225</v>
      </c>
      <c r="C4451">
        <v>33</v>
      </c>
      <c r="D4451" s="1" t="s">
        <v>1335</v>
      </c>
      <c r="E4451">
        <v>9</v>
      </c>
    </row>
    <row r="4452" spans="1:5" x14ac:dyDescent="0.2">
      <c r="A4452">
        <v>10002428</v>
      </c>
      <c r="B4452">
        <v>28662225</v>
      </c>
      <c r="C4452">
        <v>13</v>
      </c>
      <c r="D4452" s="1" t="s">
        <v>462</v>
      </c>
      <c r="E4452">
        <v>9</v>
      </c>
    </row>
    <row r="4453" spans="1:5" x14ac:dyDescent="0.2">
      <c r="A4453">
        <v>10002428</v>
      </c>
      <c r="B4453">
        <v>28662225</v>
      </c>
      <c r="C4453">
        <v>20</v>
      </c>
      <c r="D4453" s="1" t="s">
        <v>388</v>
      </c>
      <c r="E4453">
        <v>9</v>
      </c>
    </row>
    <row r="4454" spans="1:5" x14ac:dyDescent="0.2">
      <c r="A4454">
        <v>10002428</v>
      </c>
      <c r="B4454">
        <v>28662225</v>
      </c>
      <c r="C4454">
        <v>26</v>
      </c>
      <c r="D4454" s="1" t="s">
        <v>567</v>
      </c>
      <c r="E4454">
        <v>9</v>
      </c>
    </row>
    <row r="4455" spans="1:5" x14ac:dyDescent="0.2">
      <c r="A4455">
        <v>10002428</v>
      </c>
      <c r="B4455">
        <v>28662225</v>
      </c>
      <c r="C4455">
        <v>16</v>
      </c>
      <c r="D4455" s="1" t="s">
        <v>482</v>
      </c>
      <c r="E4455">
        <v>9</v>
      </c>
    </row>
    <row r="4456" spans="1:5" x14ac:dyDescent="0.2">
      <c r="A4456">
        <v>10002428</v>
      </c>
      <c r="B4456">
        <v>28662225</v>
      </c>
      <c r="C4456">
        <v>22</v>
      </c>
      <c r="D4456" s="1" t="s">
        <v>293</v>
      </c>
      <c r="E4456">
        <v>9</v>
      </c>
    </row>
    <row r="4457" spans="1:5" x14ac:dyDescent="0.2">
      <c r="A4457">
        <v>10002428</v>
      </c>
      <c r="B4457">
        <v>28662225</v>
      </c>
      <c r="C4457">
        <v>23</v>
      </c>
      <c r="D4457" s="1" t="s">
        <v>1343</v>
      </c>
      <c r="E4457">
        <v>9</v>
      </c>
    </row>
    <row r="4458" spans="1:5" x14ac:dyDescent="0.2">
      <c r="A4458">
        <v>10002428</v>
      </c>
      <c r="B4458">
        <v>28662225</v>
      </c>
      <c r="C4458">
        <v>1</v>
      </c>
      <c r="D4458" s="1" t="s">
        <v>1712</v>
      </c>
      <c r="E4458">
        <v>9</v>
      </c>
    </row>
    <row r="4459" spans="1:5" x14ac:dyDescent="0.2">
      <c r="A4459">
        <v>10002428</v>
      </c>
      <c r="B4459">
        <v>28662225</v>
      </c>
      <c r="C4459">
        <v>18</v>
      </c>
      <c r="D4459" s="1" t="s">
        <v>385</v>
      </c>
      <c r="E4459">
        <v>9</v>
      </c>
    </row>
    <row r="4460" spans="1:5" x14ac:dyDescent="0.2">
      <c r="A4460">
        <v>10002428</v>
      </c>
      <c r="B4460">
        <v>28662225</v>
      </c>
      <c r="C4460">
        <v>21</v>
      </c>
      <c r="D4460" s="1" t="s">
        <v>275</v>
      </c>
      <c r="E4460">
        <v>9</v>
      </c>
    </row>
    <row r="4461" spans="1:5" x14ac:dyDescent="0.2">
      <c r="A4461">
        <v>10002428</v>
      </c>
      <c r="B4461">
        <v>28662225</v>
      </c>
      <c r="C4461">
        <v>30</v>
      </c>
      <c r="D4461" s="1" t="s">
        <v>355</v>
      </c>
      <c r="E4461">
        <v>9</v>
      </c>
    </row>
    <row r="4462" spans="1:5" x14ac:dyDescent="0.2">
      <c r="A4462">
        <v>10002428</v>
      </c>
      <c r="B4462">
        <v>28662225</v>
      </c>
      <c r="C4462">
        <v>25</v>
      </c>
      <c r="D4462" s="1" t="s">
        <v>1691</v>
      </c>
      <c r="E4462">
        <v>9</v>
      </c>
    </row>
    <row r="4463" spans="1:5" x14ac:dyDescent="0.2">
      <c r="A4463">
        <v>10002428</v>
      </c>
      <c r="B4463">
        <v>28662225</v>
      </c>
      <c r="C4463">
        <v>31</v>
      </c>
      <c r="D4463" s="1" t="s">
        <v>1713</v>
      </c>
      <c r="E4463">
        <v>9</v>
      </c>
    </row>
    <row r="4464" spans="1:5" x14ac:dyDescent="0.2">
      <c r="A4464">
        <v>10002428</v>
      </c>
      <c r="B4464">
        <v>28662225</v>
      </c>
      <c r="C4464">
        <v>34</v>
      </c>
      <c r="D4464" s="1" t="s">
        <v>268</v>
      </c>
      <c r="E4464">
        <v>9</v>
      </c>
    </row>
    <row r="4465" spans="1:5" x14ac:dyDescent="0.2">
      <c r="A4465">
        <v>10002428</v>
      </c>
      <c r="B4465">
        <v>28662225</v>
      </c>
      <c r="C4465">
        <v>8</v>
      </c>
      <c r="D4465" s="1" t="s">
        <v>516</v>
      </c>
      <c r="E4465">
        <v>9</v>
      </c>
    </row>
    <row r="4466" spans="1:5" x14ac:dyDescent="0.2">
      <c r="A4466">
        <v>10002428</v>
      </c>
      <c r="B4466">
        <v>28662225</v>
      </c>
      <c r="C4466">
        <v>6</v>
      </c>
      <c r="D4466" s="1" t="s">
        <v>396</v>
      </c>
      <c r="E4466">
        <v>9</v>
      </c>
    </row>
    <row r="4467" spans="1:5" x14ac:dyDescent="0.2">
      <c r="A4467">
        <v>10002428</v>
      </c>
      <c r="B4467">
        <v>28662225</v>
      </c>
      <c r="C4467">
        <v>14</v>
      </c>
      <c r="D4467" s="1" t="s">
        <v>267</v>
      </c>
      <c r="E4467">
        <v>9</v>
      </c>
    </row>
    <row r="4468" spans="1:5" x14ac:dyDescent="0.2">
      <c r="A4468">
        <v>10002428</v>
      </c>
      <c r="B4468">
        <v>28662225</v>
      </c>
      <c r="C4468">
        <v>17</v>
      </c>
      <c r="D4468" s="1" t="s">
        <v>272</v>
      </c>
      <c r="E4468">
        <v>9</v>
      </c>
    </row>
    <row r="4469" spans="1:5" x14ac:dyDescent="0.2">
      <c r="A4469">
        <v>10002428</v>
      </c>
      <c r="B4469">
        <v>28662225</v>
      </c>
      <c r="C4469">
        <v>24</v>
      </c>
      <c r="D4469" s="1" t="s">
        <v>1714</v>
      </c>
      <c r="E4469">
        <v>9</v>
      </c>
    </row>
    <row r="4470" spans="1:5" x14ac:dyDescent="0.2">
      <c r="A4470">
        <v>10002428</v>
      </c>
      <c r="B4470">
        <v>28662225</v>
      </c>
      <c r="C4470">
        <v>19</v>
      </c>
      <c r="D4470" s="1" t="s">
        <v>296</v>
      </c>
      <c r="E4470">
        <v>9</v>
      </c>
    </row>
    <row r="4471" spans="1:5" x14ac:dyDescent="0.2">
      <c r="A4471">
        <v>10002428</v>
      </c>
      <c r="B4471">
        <v>28662225</v>
      </c>
      <c r="C4471">
        <v>12</v>
      </c>
      <c r="D4471" s="1" t="s">
        <v>852</v>
      </c>
      <c r="E4471">
        <v>9</v>
      </c>
    </row>
    <row r="4472" spans="1:5" x14ac:dyDescent="0.2">
      <c r="A4472">
        <v>10002428</v>
      </c>
      <c r="B4472">
        <v>28662225</v>
      </c>
      <c r="C4472">
        <v>5</v>
      </c>
      <c r="D4472" s="1" t="s">
        <v>1715</v>
      </c>
      <c r="E4472">
        <v>9</v>
      </c>
    </row>
    <row r="4473" spans="1:5" x14ac:dyDescent="0.2">
      <c r="A4473">
        <v>10002428</v>
      </c>
      <c r="B4473">
        <v>28662225</v>
      </c>
      <c r="C4473">
        <v>11</v>
      </c>
      <c r="D4473" s="1" t="s">
        <v>390</v>
      </c>
      <c r="E4473">
        <v>9</v>
      </c>
    </row>
    <row r="4474" spans="1:5" x14ac:dyDescent="0.2">
      <c r="A4474">
        <v>10002428</v>
      </c>
      <c r="B4474">
        <v>28662225</v>
      </c>
      <c r="C4474">
        <v>15</v>
      </c>
      <c r="D4474" s="1" t="s">
        <v>263</v>
      </c>
      <c r="E4474">
        <v>9</v>
      </c>
    </row>
    <row r="4475" spans="1:5" x14ac:dyDescent="0.2">
      <c r="A4475">
        <v>10002428</v>
      </c>
      <c r="B4475">
        <v>28662225</v>
      </c>
      <c r="C4475">
        <v>29</v>
      </c>
      <c r="D4475" s="1" t="s">
        <v>360</v>
      </c>
      <c r="E4475">
        <v>9</v>
      </c>
    </row>
    <row r="4476" spans="1:5" x14ac:dyDescent="0.2">
      <c r="A4476">
        <v>10002428</v>
      </c>
      <c r="B4476">
        <v>28662225</v>
      </c>
      <c r="C4476">
        <v>3</v>
      </c>
      <c r="D4476" s="1" t="s">
        <v>587</v>
      </c>
      <c r="E4476">
        <v>9</v>
      </c>
    </row>
    <row r="4477" spans="1:5" x14ac:dyDescent="0.2">
      <c r="A4477">
        <v>10002428</v>
      </c>
      <c r="B4477">
        <v>28662225</v>
      </c>
      <c r="C4477">
        <v>9</v>
      </c>
      <c r="D4477" s="1" t="s">
        <v>1253</v>
      </c>
      <c r="E4477">
        <v>9</v>
      </c>
    </row>
    <row r="4478" spans="1:5" x14ac:dyDescent="0.2">
      <c r="A4478">
        <v>10004733</v>
      </c>
      <c r="B4478">
        <v>27411876</v>
      </c>
      <c r="C4478">
        <v>7</v>
      </c>
      <c r="D4478" s="1" t="s">
        <v>273</v>
      </c>
      <c r="E4478">
        <v>9</v>
      </c>
    </row>
    <row r="4479" spans="1:5" x14ac:dyDescent="0.2">
      <c r="A4479">
        <v>10004733</v>
      </c>
      <c r="B4479">
        <v>27411876</v>
      </c>
      <c r="C4479">
        <v>6</v>
      </c>
      <c r="D4479" s="1" t="s">
        <v>814</v>
      </c>
      <c r="E4479">
        <v>9</v>
      </c>
    </row>
    <row r="4480" spans="1:5" x14ac:dyDescent="0.2">
      <c r="A4480">
        <v>10004733</v>
      </c>
      <c r="B4480">
        <v>27411876</v>
      </c>
      <c r="C4480">
        <v>12</v>
      </c>
      <c r="D4480" s="1" t="s">
        <v>403</v>
      </c>
      <c r="E4480">
        <v>9</v>
      </c>
    </row>
    <row r="4481" spans="1:5" x14ac:dyDescent="0.2">
      <c r="A4481">
        <v>10004733</v>
      </c>
      <c r="B4481">
        <v>27411876</v>
      </c>
      <c r="C4481">
        <v>27</v>
      </c>
      <c r="D4481" s="1" t="s">
        <v>369</v>
      </c>
      <c r="E4481">
        <v>9</v>
      </c>
    </row>
    <row r="4482" spans="1:5" x14ac:dyDescent="0.2">
      <c r="A4482">
        <v>10004733</v>
      </c>
      <c r="B4482">
        <v>27411876</v>
      </c>
      <c r="C4482">
        <v>14</v>
      </c>
      <c r="D4482" s="1" t="s">
        <v>413</v>
      </c>
      <c r="E4482">
        <v>9</v>
      </c>
    </row>
    <row r="4483" spans="1:5" x14ac:dyDescent="0.2">
      <c r="A4483">
        <v>10004733</v>
      </c>
      <c r="B4483">
        <v>27411876</v>
      </c>
      <c r="C4483">
        <v>4</v>
      </c>
      <c r="D4483" s="1" t="s">
        <v>1716</v>
      </c>
      <c r="E4483">
        <v>9</v>
      </c>
    </row>
    <row r="4484" spans="1:5" x14ac:dyDescent="0.2">
      <c r="A4484">
        <v>10004733</v>
      </c>
      <c r="B4484">
        <v>27411876</v>
      </c>
      <c r="C4484">
        <v>5</v>
      </c>
      <c r="D4484" s="1" t="s">
        <v>1717</v>
      </c>
      <c r="E4484">
        <v>9</v>
      </c>
    </row>
    <row r="4485" spans="1:5" x14ac:dyDescent="0.2">
      <c r="A4485">
        <v>10004733</v>
      </c>
      <c r="B4485">
        <v>27411876</v>
      </c>
      <c r="C4485">
        <v>8</v>
      </c>
      <c r="D4485" s="1" t="s">
        <v>1435</v>
      </c>
      <c r="E4485">
        <v>9</v>
      </c>
    </row>
    <row r="4486" spans="1:5" x14ac:dyDescent="0.2">
      <c r="A4486">
        <v>10004733</v>
      </c>
      <c r="B4486">
        <v>27411876</v>
      </c>
      <c r="C4486">
        <v>18</v>
      </c>
      <c r="D4486" s="1" t="s">
        <v>1718</v>
      </c>
      <c r="E4486">
        <v>9</v>
      </c>
    </row>
    <row r="4487" spans="1:5" x14ac:dyDescent="0.2">
      <c r="A4487">
        <v>10004733</v>
      </c>
      <c r="B4487">
        <v>27411876</v>
      </c>
      <c r="C4487">
        <v>17</v>
      </c>
      <c r="D4487" s="1" t="s">
        <v>961</v>
      </c>
      <c r="E4487">
        <v>9</v>
      </c>
    </row>
    <row r="4488" spans="1:5" x14ac:dyDescent="0.2">
      <c r="A4488">
        <v>10004733</v>
      </c>
      <c r="B4488">
        <v>27411876</v>
      </c>
      <c r="C4488">
        <v>9</v>
      </c>
      <c r="D4488" s="1" t="s">
        <v>1293</v>
      </c>
      <c r="E4488">
        <v>9</v>
      </c>
    </row>
    <row r="4489" spans="1:5" x14ac:dyDescent="0.2">
      <c r="A4489">
        <v>10004733</v>
      </c>
      <c r="B4489">
        <v>27411876</v>
      </c>
      <c r="C4489">
        <v>3</v>
      </c>
      <c r="D4489" s="1" t="s">
        <v>392</v>
      </c>
      <c r="E4489">
        <v>9</v>
      </c>
    </row>
    <row r="4490" spans="1:5" x14ac:dyDescent="0.2">
      <c r="A4490">
        <v>10004733</v>
      </c>
      <c r="B4490">
        <v>27411876</v>
      </c>
      <c r="C4490">
        <v>2</v>
      </c>
      <c r="D4490" s="1" t="s">
        <v>1527</v>
      </c>
      <c r="E4490">
        <v>9</v>
      </c>
    </row>
    <row r="4491" spans="1:5" x14ac:dyDescent="0.2">
      <c r="A4491">
        <v>10004733</v>
      </c>
      <c r="B4491">
        <v>27411876</v>
      </c>
      <c r="C4491">
        <v>13</v>
      </c>
      <c r="D4491" s="1" t="s">
        <v>1719</v>
      </c>
      <c r="E4491">
        <v>9</v>
      </c>
    </row>
    <row r="4492" spans="1:5" x14ac:dyDescent="0.2">
      <c r="A4492">
        <v>10004733</v>
      </c>
      <c r="B4492">
        <v>27411876</v>
      </c>
      <c r="C4492">
        <v>1</v>
      </c>
      <c r="D4492" s="1" t="s">
        <v>730</v>
      </c>
      <c r="E4492">
        <v>9</v>
      </c>
    </row>
    <row r="4493" spans="1:5" x14ac:dyDescent="0.2">
      <c r="A4493">
        <v>10004733</v>
      </c>
      <c r="B4493">
        <v>27411876</v>
      </c>
      <c r="C4493">
        <v>11</v>
      </c>
      <c r="D4493" s="1" t="s">
        <v>725</v>
      </c>
      <c r="E4493">
        <v>9</v>
      </c>
    </row>
    <row r="4494" spans="1:5" x14ac:dyDescent="0.2">
      <c r="A4494">
        <v>10004733</v>
      </c>
      <c r="B4494">
        <v>27411876</v>
      </c>
      <c r="C4494">
        <v>10</v>
      </c>
      <c r="D4494" s="1" t="s">
        <v>1720</v>
      </c>
      <c r="E4494">
        <v>9</v>
      </c>
    </row>
    <row r="4495" spans="1:5" x14ac:dyDescent="0.2">
      <c r="A4495">
        <v>10004733</v>
      </c>
      <c r="B4495">
        <v>27411876</v>
      </c>
      <c r="C4495">
        <v>24</v>
      </c>
      <c r="D4495" s="1" t="s">
        <v>1018</v>
      </c>
      <c r="E4495">
        <v>9</v>
      </c>
    </row>
    <row r="4496" spans="1:5" x14ac:dyDescent="0.2">
      <c r="A4496">
        <v>10004733</v>
      </c>
      <c r="B4496">
        <v>27411876</v>
      </c>
      <c r="C4496">
        <v>23</v>
      </c>
      <c r="D4496" s="1" t="s">
        <v>494</v>
      </c>
      <c r="E4496">
        <v>9</v>
      </c>
    </row>
    <row r="4497" spans="1:5" x14ac:dyDescent="0.2">
      <c r="A4497">
        <v>10004733</v>
      </c>
      <c r="B4497">
        <v>27411876</v>
      </c>
      <c r="C4497">
        <v>28</v>
      </c>
      <c r="D4497" s="1" t="s">
        <v>1645</v>
      </c>
      <c r="E4497">
        <v>9</v>
      </c>
    </row>
    <row r="4498" spans="1:5" x14ac:dyDescent="0.2">
      <c r="A4498">
        <v>10004733</v>
      </c>
      <c r="B4498">
        <v>27411876</v>
      </c>
      <c r="C4498">
        <v>25</v>
      </c>
      <c r="D4498" s="1" t="s">
        <v>726</v>
      </c>
      <c r="E4498">
        <v>9</v>
      </c>
    </row>
    <row r="4499" spans="1:5" x14ac:dyDescent="0.2">
      <c r="A4499">
        <v>10004733</v>
      </c>
      <c r="B4499">
        <v>27411876</v>
      </c>
      <c r="C4499">
        <v>20</v>
      </c>
      <c r="D4499" s="1" t="s">
        <v>702</v>
      </c>
      <c r="E4499">
        <v>9</v>
      </c>
    </row>
    <row r="4500" spans="1:5" x14ac:dyDescent="0.2">
      <c r="A4500">
        <v>10004733</v>
      </c>
      <c r="B4500">
        <v>27411876</v>
      </c>
      <c r="C4500">
        <v>21</v>
      </c>
      <c r="D4500" s="1" t="s">
        <v>537</v>
      </c>
      <c r="E4500">
        <v>9</v>
      </c>
    </row>
    <row r="4501" spans="1:5" x14ac:dyDescent="0.2">
      <c r="A4501">
        <v>10004733</v>
      </c>
      <c r="B4501">
        <v>27411876</v>
      </c>
      <c r="C4501">
        <v>15</v>
      </c>
      <c r="D4501" s="1" t="s">
        <v>510</v>
      </c>
      <c r="E4501">
        <v>9</v>
      </c>
    </row>
    <row r="4502" spans="1:5" x14ac:dyDescent="0.2">
      <c r="A4502">
        <v>10004733</v>
      </c>
      <c r="B4502">
        <v>27411876</v>
      </c>
      <c r="C4502">
        <v>16</v>
      </c>
      <c r="D4502" s="1" t="s">
        <v>1721</v>
      </c>
      <c r="E4502">
        <v>9</v>
      </c>
    </row>
    <row r="4503" spans="1:5" x14ac:dyDescent="0.2">
      <c r="A4503">
        <v>10004733</v>
      </c>
      <c r="B4503">
        <v>27411876</v>
      </c>
      <c r="C4503">
        <v>19</v>
      </c>
      <c r="D4503" s="1" t="s">
        <v>1722</v>
      </c>
      <c r="E4503">
        <v>9</v>
      </c>
    </row>
    <row r="4504" spans="1:5" x14ac:dyDescent="0.2">
      <c r="A4504">
        <v>10004733</v>
      </c>
      <c r="B4504">
        <v>27411876</v>
      </c>
      <c r="C4504">
        <v>30</v>
      </c>
      <c r="D4504" s="1" t="s">
        <v>499</v>
      </c>
      <c r="E4504">
        <v>9</v>
      </c>
    </row>
    <row r="4505" spans="1:5" x14ac:dyDescent="0.2">
      <c r="A4505">
        <v>10004733</v>
      </c>
      <c r="B4505">
        <v>27411876</v>
      </c>
      <c r="C4505">
        <v>26</v>
      </c>
      <c r="D4505" s="1" t="s">
        <v>1714</v>
      </c>
      <c r="E4505">
        <v>9</v>
      </c>
    </row>
    <row r="4506" spans="1:5" x14ac:dyDescent="0.2">
      <c r="A4506">
        <v>10004733</v>
      </c>
      <c r="B4506">
        <v>27411876</v>
      </c>
      <c r="C4506">
        <v>22</v>
      </c>
      <c r="D4506" s="1" t="s">
        <v>360</v>
      </c>
      <c r="E4506">
        <v>9</v>
      </c>
    </row>
    <row r="4507" spans="1:5" x14ac:dyDescent="0.2">
      <c r="A4507">
        <v>10004733</v>
      </c>
      <c r="B4507">
        <v>27411876</v>
      </c>
      <c r="C4507">
        <v>29</v>
      </c>
      <c r="D4507" s="1" t="s">
        <v>342</v>
      </c>
      <c r="E4507">
        <v>9</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CBFC-F76B-DB40-8AA1-8E7083C28380}">
  <dimension ref="A3:B6"/>
  <sheetViews>
    <sheetView workbookViewId="0">
      <selection activeCell="B5" sqref="B5"/>
    </sheetView>
  </sheetViews>
  <sheetFormatPr baseColWidth="10" defaultRowHeight="16" x14ac:dyDescent="0.2"/>
  <cols>
    <col min="1" max="1" width="13" customWidth="1"/>
    <col min="2" max="2" width="27.1640625" customWidth="1"/>
  </cols>
  <sheetData>
    <row r="3" spans="1:2" x14ac:dyDescent="0.2">
      <c r="A3" s="4" t="s">
        <v>1725</v>
      </c>
      <c r="B3" t="s">
        <v>1729</v>
      </c>
    </row>
    <row r="4" spans="1:2" x14ac:dyDescent="0.2">
      <c r="A4" s="5" t="s">
        <v>1727</v>
      </c>
      <c r="B4" s="6">
        <v>0.13043478260869565</v>
      </c>
    </row>
    <row r="5" spans="1:2" x14ac:dyDescent="0.2">
      <c r="A5" s="5" t="s">
        <v>1726</v>
      </c>
      <c r="B5" s="6">
        <v>9.1836734693877556E-2</v>
      </c>
    </row>
    <row r="6" spans="1:2" x14ac:dyDescent="0.2">
      <c r="A6" s="5" t="s">
        <v>1728</v>
      </c>
      <c r="B6" s="1">
        <v>9.9173553719008267E-2</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2B54-B81B-6948-BF58-53C5D7D75D8B}">
  <dimension ref="A3:B19"/>
  <sheetViews>
    <sheetView workbookViewId="0">
      <selection activeCell="E22" sqref="E22"/>
    </sheetView>
  </sheetViews>
  <sheetFormatPr baseColWidth="10" defaultRowHeight="16" x14ac:dyDescent="0.2"/>
  <cols>
    <col min="1" max="1" width="13" customWidth="1"/>
    <col min="2" max="2" width="15.83203125" customWidth="1"/>
  </cols>
  <sheetData>
    <row r="3" spans="1:2" x14ac:dyDescent="0.2">
      <c r="A3" s="4" t="s">
        <v>1725</v>
      </c>
      <c r="B3" t="s">
        <v>1730</v>
      </c>
    </row>
    <row r="4" spans="1:2" x14ac:dyDescent="0.2">
      <c r="A4" s="5" t="s">
        <v>359</v>
      </c>
      <c r="B4" s="1">
        <v>5</v>
      </c>
    </row>
    <row r="5" spans="1:2" x14ac:dyDescent="0.2">
      <c r="A5" s="5" t="s">
        <v>309</v>
      </c>
      <c r="B5" s="1">
        <v>3</v>
      </c>
    </row>
    <row r="6" spans="1:2" x14ac:dyDescent="0.2">
      <c r="A6" s="5" t="s">
        <v>626</v>
      </c>
      <c r="B6" s="1">
        <v>2</v>
      </c>
    </row>
    <row r="7" spans="1:2" x14ac:dyDescent="0.2">
      <c r="A7" s="5" t="s">
        <v>1012</v>
      </c>
      <c r="B7" s="1">
        <v>2</v>
      </c>
    </row>
    <row r="8" spans="1:2" x14ac:dyDescent="0.2">
      <c r="A8" s="5" t="s">
        <v>380</v>
      </c>
      <c r="B8" s="1">
        <v>2</v>
      </c>
    </row>
    <row r="9" spans="1:2" x14ac:dyDescent="0.2">
      <c r="A9" s="5" t="s">
        <v>273</v>
      </c>
      <c r="B9" s="1">
        <v>2</v>
      </c>
    </row>
    <row r="10" spans="1:2" x14ac:dyDescent="0.2">
      <c r="A10" s="5" t="s">
        <v>612</v>
      </c>
      <c r="B10" s="1">
        <v>2</v>
      </c>
    </row>
    <row r="11" spans="1:2" x14ac:dyDescent="0.2">
      <c r="A11" s="5" t="s">
        <v>423</v>
      </c>
      <c r="B11" s="1">
        <v>2</v>
      </c>
    </row>
    <row r="12" spans="1:2" x14ac:dyDescent="0.2">
      <c r="A12" s="5" t="s">
        <v>404</v>
      </c>
      <c r="B12" s="1">
        <v>2</v>
      </c>
    </row>
    <row r="13" spans="1:2" x14ac:dyDescent="0.2">
      <c r="A13" s="5" t="s">
        <v>463</v>
      </c>
      <c r="B13" s="1">
        <v>2</v>
      </c>
    </row>
    <row r="14" spans="1:2" x14ac:dyDescent="0.2">
      <c r="A14" s="5" t="s">
        <v>252</v>
      </c>
      <c r="B14" s="1">
        <v>2</v>
      </c>
    </row>
    <row r="15" spans="1:2" x14ac:dyDescent="0.2">
      <c r="A15" s="5" t="s">
        <v>328</v>
      </c>
      <c r="B15" s="1">
        <v>2</v>
      </c>
    </row>
    <row r="16" spans="1:2" x14ac:dyDescent="0.2">
      <c r="A16" s="5" t="s">
        <v>620</v>
      </c>
      <c r="B16" s="1">
        <v>2</v>
      </c>
    </row>
    <row r="17" spans="1:2" x14ac:dyDescent="0.2">
      <c r="A17" s="5" t="s">
        <v>285</v>
      </c>
      <c r="B17" s="1">
        <v>2</v>
      </c>
    </row>
    <row r="18" spans="1:2" x14ac:dyDescent="0.2">
      <c r="A18" s="5" t="s">
        <v>324</v>
      </c>
      <c r="B18" s="1">
        <v>2</v>
      </c>
    </row>
    <row r="19" spans="1:2" x14ac:dyDescent="0.2">
      <c r="A19" s="5" t="s">
        <v>1728</v>
      </c>
      <c r="B19" s="1">
        <v>34</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8B94-C02C-3048-A8BB-6B0899802684}">
  <dimension ref="A1:T276"/>
  <sheetViews>
    <sheetView topLeftCell="H1" workbookViewId="0">
      <selection activeCell="P6" sqref="P6"/>
    </sheetView>
  </sheetViews>
  <sheetFormatPr baseColWidth="10" defaultRowHeight="16" x14ac:dyDescent="0.2"/>
  <cols>
    <col min="1" max="1" width="12.1640625" customWidth="1"/>
    <col min="2" max="2" width="10.6640625" customWidth="1"/>
    <col min="3" max="5" width="13.33203125" customWidth="1"/>
    <col min="6" max="6" width="28.33203125" customWidth="1"/>
    <col min="7" max="7" width="18.33203125" customWidth="1"/>
    <col min="8" max="8" width="38.1640625" customWidth="1"/>
    <col min="9" max="9" width="30.83203125" customWidth="1"/>
    <col min="10" max="10" width="11.83203125" customWidth="1"/>
    <col min="11" max="11" width="11.1640625" customWidth="1"/>
    <col min="12" max="12" width="15.83203125" customWidth="1"/>
    <col min="13" max="13" width="29.6640625" customWidth="1"/>
    <col min="14" max="15" width="13.33203125" customWidth="1"/>
    <col min="16" max="16" width="20.33203125" customWidth="1"/>
    <col min="17" max="17" width="9.33203125" customWidth="1"/>
    <col min="18" max="18" width="6.6640625" customWidth="1"/>
    <col min="19" max="19" width="12.1640625" customWidth="1"/>
    <col min="20" max="20" width="11" customWidth="1"/>
  </cols>
  <sheetData>
    <row r="1" spans="1:20" x14ac:dyDescent="0.2">
      <c r="A1" t="s">
        <v>0</v>
      </c>
      <c r="B1" t="s">
        <v>10</v>
      </c>
      <c r="C1" t="s">
        <v>11</v>
      </c>
      <c r="D1" t="s">
        <v>12</v>
      </c>
      <c r="E1" t="s">
        <v>13</v>
      </c>
      <c r="F1" t="s">
        <v>14</v>
      </c>
      <c r="G1" t="s">
        <v>15</v>
      </c>
      <c r="H1" t="s">
        <v>16</v>
      </c>
      <c r="I1" t="s">
        <v>17</v>
      </c>
      <c r="J1" t="s">
        <v>18</v>
      </c>
      <c r="K1" t="s">
        <v>19</v>
      </c>
      <c r="L1" t="s">
        <v>20</v>
      </c>
      <c r="M1" t="s">
        <v>21</v>
      </c>
      <c r="N1" t="s">
        <v>22</v>
      </c>
      <c r="O1" t="s">
        <v>23</v>
      </c>
      <c r="P1" t="s">
        <v>24</v>
      </c>
      <c r="Q1" t="s">
        <v>1</v>
      </c>
      <c r="R1" t="s">
        <v>1723</v>
      </c>
      <c r="S1" t="s">
        <v>1724</v>
      </c>
      <c r="T1" t="s">
        <v>249</v>
      </c>
    </row>
    <row r="2" spans="1:20" x14ac:dyDescent="0.2">
      <c r="A2">
        <v>10004235</v>
      </c>
      <c r="B2">
        <v>24181354</v>
      </c>
      <c r="C2" s="3">
        <v>108168.60972222222</v>
      </c>
      <c r="D2" s="3">
        <v>108177.58472222222</v>
      </c>
      <c r="E2" s="3"/>
      <c r="F2" s="1" t="s">
        <v>25</v>
      </c>
      <c r="G2" s="1" t="s">
        <v>26</v>
      </c>
      <c r="H2" s="1" t="s">
        <v>27</v>
      </c>
      <c r="I2" s="1" t="s">
        <v>28</v>
      </c>
      <c r="J2" s="1" t="s">
        <v>29</v>
      </c>
      <c r="K2" s="1" t="s">
        <v>30</v>
      </c>
      <c r="L2" s="1" t="s">
        <v>31</v>
      </c>
      <c r="M2" s="1" t="s">
        <v>32</v>
      </c>
      <c r="N2" s="3">
        <v>108168.51041666667</v>
      </c>
      <c r="O2" s="3">
        <v>108168.71319444444</v>
      </c>
      <c r="P2">
        <v>0</v>
      </c>
      <c r="Q2" t="str">
        <f>_xlfn.XLOOKUP(A2, patients!A:A, patients!B:B)</f>
        <v>M</v>
      </c>
      <c r="R2">
        <f>_xlfn.XLOOKUP(A2, patients!A:A, patients!C:C)</f>
        <v>47</v>
      </c>
      <c r="S2" t="str">
        <f t="shared" ref="S2:S65" si="0">IF(R2&lt;30,"Under 30",
 IF(R2&lt;=50,"30-50",
 IF(R2&lt;=70,"50-70","70+")))</f>
        <v>30-50</v>
      </c>
      <c r="T2" s="1" t="str">
        <f>_xlfn.XLOOKUP(B2, diagnoses_icd!B:B, diagnoses_icd!D:D)</f>
        <v>42731</v>
      </c>
    </row>
    <row r="3" spans="1:20" x14ac:dyDescent="0.2">
      <c r="A3">
        <v>10009628</v>
      </c>
      <c r="B3">
        <v>25926192</v>
      </c>
      <c r="C3" s="3">
        <v>92668.713888888888</v>
      </c>
      <c r="D3" s="3">
        <v>92676.555555555562</v>
      </c>
      <c r="E3" s="3"/>
      <c r="F3" s="1" t="s">
        <v>25</v>
      </c>
      <c r="G3" s="1" t="s">
        <v>33</v>
      </c>
      <c r="H3" s="1" t="s">
        <v>27</v>
      </c>
      <c r="I3" s="1" t="s">
        <v>34</v>
      </c>
      <c r="J3" s="1" t="s">
        <v>29</v>
      </c>
      <c r="K3" s="1" t="s">
        <v>35</v>
      </c>
      <c r="L3" s="1" t="s">
        <v>36</v>
      </c>
      <c r="M3" s="1" t="s">
        <v>37</v>
      </c>
      <c r="N3" s="3"/>
      <c r="O3" s="3"/>
      <c r="P3">
        <v>0</v>
      </c>
      <c r="Q3" t="str">
        <f>_xlfn.XLOOKUP(A3, patients!A:A, patients!B:B)</f>
        <v>M</v>
      </c>
      <c r="R3">
        <f>_xlfn.XLOOKUP(A3, patients!A:A, patients!C:C)</f>
        <v>58</v>
      </c>
      <c r="S3" t="str">
        <f t="shared" si="0"/>
        <v>50-70</v>
      </c>
      <c r="T3" s="1" t="str">
        <f>_xlfn.XLOOKUP(B3, diagnoses_icd!B:B, diagnoses_icd!D:D)</f>
        <v>36201</v>
      </c>
    </row>
    <row r="4" spans="1:20" x14ac:dyDescent="0.2">
      <c r="A4">
        <v>10018081</v>
      </c>
      <c r="B4">
        <v>23983182</v>
      </c>
      <c r="C4" s="3">
        <v>85698.084722222222</v>
      </c>
      <c r="D4" s="3">
        <v>85703.815972222219</v>
      </c>
      <c r="E4" s="3"/>
      <c r="F4" s="1" t="s">
        <v>25</v>
      </c>
      <c r="G4" s="1" t="s">
        <v>38</v>
      </c>
      <c r="H4" s="1" t="s">
        <v>27</v>
      </c>
      <c r="I4" s="1" t="s">
        <v>28</v>
      </c>
      <c r="J4" s="1" t="s">
        <v>39</v>
      </c>
      <c r="K4" s="1" t="s">
        <v>30</v>
      </c>
      <c r="L4" s="1" t="s">
        <v>36</v>
      </c>
      <c r="M4" s="1" t="s">
        <v>40</v>
      </c>
      <c r="N4" s="3">
        <v>85697.683333333334</v>
      </c>
      <c r="O4" s="3">
        <v>85698.135416666672</v>
      </c>
      <c r="P4">
        <v>0</v>
      </c>
      <c r="Q4" t="str">
        <f>_xlfn.XLOOKUP(A4, patients!A:A, patients!B:B)</f>
        <v>M</v>
      </c>
      <c r="R4">
        <f>_xlfn.XLOOKUP(A4, patients!A:A, patients!C:C)</f>
        <v>79</v>
      </c>
      <c r="S4" t="str">
        <f t="shared" si="0"/>
        <v>70+</v>
      </c>
      <c r="T4" s="1" t="str">
        <f>_xlfn.XLOOKUP(B4, diagnoses_icd!B:B, diagnoses_icd!D:D)</f>
        <v>V1582</v>
      </c>
    </row>
    <row r="5" spans="1:20" x14ac:dyDescent="0.2">
      <c r="A5">
        <v>10006053</v>
      </c>
      <c r="B5">
        <v>22942076</v>
      </c>
      <c r="C5" s="3">
        <v>77384.985416666663</v>
      </c>
      <c r="D5" s="3">
        <v>77386.722222222219</v>
      </c>
      <c r="E5" s="3">
        <v>77386.722222222219</v>
      </c>
      <c r="F5" s="1" t="s">
        <v>25</v>
      </c>
      <c r="G5" s="1" t="s">
        <v>41</v>
      </c>
      <c r="H5" s="1" t="s">
        <v>27</v>
      </c>
      <c r="I5" s="1" t="s">
        <v>42</v>
      </c>
      <c r="J5" s="1" t="s">
        <v>29</v>
      </c>
      <c r="K5" s="1" t="s">
        <v>30</v>
      </c>
      <c r="L5" s="1" t="s">
        <v>43</v>
      </c>
      <c r="M5" s="1" t="s">
        <v>44</v>
      </c>
      <c r="N5" s="3"/>
      <c r="O5" s="3"/>
      <c r="P5">
        <v>1</v>
      </c>
      <c r="Q5" t="str">
        <f>_xlfn.XLOOKUP(A5, patients!A:A, patients!B:B)</f>
        <v>M</v>
      </c>
      <c r="R5">
        <f>_xlfn.XLOOKUP(A5, patients!A:A, patients!C:C)</f>
        <v>52</v>
      </c>
      <c r="S5" t="str">
        <f t="shared" si="0"/>
        <v>50-70</v>
      </c>
      <c r="T5" s="1" t="str">
        <f>_xlfn.XLOOKUP(B5, diagnoses_icd!B:B, diagnoses_icd!D:D)</f>
        <v>45620</v>
      </c>
    </row>
    <row r="6" spans="1:20" x14ac:dyDescent="0.2">
      <c r="A6">
        <v>10031404</v>
      </c>
      <c r="B6">
        <v>21606243</v>
      </c>
      <c r="C6" s="3">
        <v>78014.781944444447</v>
      </c>
      <c r="D6" s="3">
        <v>78016.87291666666</v>
      </c>
      <c r="E6" s="3"/>
      <c r="F6" s="1" t="s">
        <v>25</v>
      </c>
      <c r="G6" s="1" t="s">
        <v>45</v>
      </c>
      <c r="H6" s="1" t="s">
        <v>27</v>
      </c>
      <c r="I6" s="1" t="s">
        <v>46</v>
      </c>
      <c r="J6" s="1" t="s">
        <v>47</v>
      </c>
      <c r="K6" s="1" t="s">
        <v>30</v>
      </c>
      <c r="L6" s="1" t="s">
        <v>48</v>
      </c>
      <c r="M6" s="1" t="s">
        <v>40</v>
      </c>
      <c r="N6" s="3"/>
      <c r="O6" s="3"/>
      <c r="P6">
        <v>0</v>
      </c>
      <c r="Q6" t="str">
        <f>_xlfn.XLOOKUP(A6, patients!A:A, patients!B:B)</f>
        <v>F</v>
      </c>
      <c r="R6">
        <f>_xlfn.XLOOKUP(A6, patients!A:A, patients!C:C)</f>
        <v>82</v>
      </c>
      <c r="S6" t="str">
        <f t="shared" si="0"/>
        <v>70+</v>
      </c>
      <c r="T6" s="1" t="str">
        <f>_xlfn.XLOOKUP(B6, diagnoses_icd!B:B, diagnoses_icd!D:D)</f>
        <v>E860</v>
      </c>
    </row>
    <row r="7" spans="1:20" x14ac:dyDescent="0.2">
      <c r="A7">
        <v>10005817</v>
      </c>
      <c r="B7">
        <v>20626031</v>
      </c>
      <c r="C7" s="3">
        <v>85084.071527777778</v>
      </c>
      <c r="D7" s="3">
        <v>85092.627777777772</v>
      </c>
      <c r="E7" s="3"/>
      <c r="F7" s="1" t="s">
        <v>25</v>
      </c>
      <c r="G7" s="1" t="s">
        <v>33</v>
      </c>
      <c r="H7" s="1" t="s">
        <v>27</v>
      </c>
      <c r="I7" s="1" t="s">
        <v>34</v>
      </c>
      <c r="J7" s="1" t="s">
        <v>39</v>
      </c>
      <c r="K7" s="1" t="s">
        <v>30</v>
      </c>
      <c r="L7" s="1" t="s">
        <v>36</v>
      </c>
      <c r="M7" s="1" t="s">
        <v>40</v>
      </c>
      <c r="N7" s="3"/>
      <c r="O7" s="3"/>
      <c r="P7">
        <v>0</v>
      </c>
      <c r="Q7" t="str">
        <f>_xlfn.XLOOKUP(A7, patients!A:A, patients!B:B)</f>
        <v>M</v>
      </c>
      <c r="R7">
        <f>_xlfn.XLOOKUP(A7, patients!A:A, patients!C:C)</f>
        <v>66</v>
      </c>
      <c r="S7" t="str">
        <f t="shared" si="0"/>
        <v>50-70</v>
      </c>
      <c r="T7" s="1" t="str">
        <f>_xlfn.XLOOKUP(B7, diagnoses_icd!B:B, diagnoses_icd!D:D)</f>
        <v>V707</v>
      </c>
    </row>
    <row r="8" spans="1:20" x14ac:dyDescent="0.2">
      <c r="A8">
        <v>10019385</v>
      </c>
      <c r="B8">
        <v>20297618</v>
      </c>
      <c r="C8" s="3">
        <v>102315.85277777778</v>
      </c>
      <c r="D8" s="3">
        <v>102325.57291666667</v>
      </c>
      <c r="E8" s="3"/>
      <c r="F8" s="1" t="s">
        <v>25</v>
      </c>
      <c r="G8" s="1" t="s">
        <v>49</v>
      </c>
      <c r="H8" s="1" t="s">
        <v>27</v>
      </c>
      <c r="I8" s="1" t="s">
        <v>34</v>
      </c>
      <c r="J8" s="1" t="s">
        <v>47</v>
      </c>
      <c r="K8" s="1" t="s">
        <v>30</v>
      </c>
      <c r="L8" s="1" t="s">
        <v>36</v>
      </c>
      <c r="M8" s="1" t="s">
        <v>40</v>
      </c>
      <c r="N8" s="3"/>
      <c r="O8" s="3"/>
      <c r="P8">
        <v>0</v>
      </c>
      <c r="Q8" t="str">
        <f>_xlfn.XLOOKUP(A8, patients!A:A, patients!B:B)</f>
        <v>M</v>
      </c>
      <c r="R8">
        <f>_xlfn.XLOOKUP(A8, patients!A:A, patients!C:C)</f>
        <v>44</v>
      </c>
      <c r="S8" t="str">
        <f t="shared" si="0"/>
        <v>30-50</v>
      </c>
      <c r="T8" s="1" t="str">
        <f>_xlfn.XLOOKUP(B8, diagnoses_icd!B:B, diagnoses_icd!D:D)</f>
        <v>F17200</v>
      </c>
    </row>
    <row r="9" spans="1:20" x14ac:dyDescent="0.2">
      <c r="A9">
        <v>10002495</v>
      </c>
      <c r="B9">
        <v>24982426</v>
      </c>
      <c r="C9" s="3">
        <v>88167.845138888893</v>
      </c>
      <c r="D9" s="3">
        <v>88174.736805555556</v>
      </c>
      <c r="E9" s="3"/>
      <c r="F9" s="1" t="s">
        <v>25</v>
      </c>
      <c r="G9" s="1" t="s">
        <v>50</v>
      </c>
      <c r="H9" s="1" t="s">
        <v>27</v>
      </c>
      <c r="I9" s="1" t="s">
        <v>28</v>
      </c>
      <c r="J9" s="1" t="s">
        <v>39</v>
      </c>
      <c r="K9" s="1" t="s">
        <v>30</v>
      </c>
      <c r="L9" s="1" t="s">
        <v>36</v>
      </c>
      <c r="M9" s="1" t="s">
        <v>44</v>
      </c>
      <c r="N9" s="3"/>
      <c r="O9" s="3"/>
      <c r="P9">
        <v>0</v>
      </c>
      <c r="Q9" t="str">
        <f>_xlfn.XLOOKUP(A9, patients!A:A, patients!B:B)</f>
        <v>M</v>
      </c>
      <c r="R9">
        <f>_xlfn.XLOOKUP(A9, patients!A:A, patients!C:C)</f>
        <v>81</v>
      </c>
      <c r="S9" t="str">
        <f t="shared" si="0"/>
        <v>70+</v>
      </c>
      <c r="T9" s="1" t="str">
        <f>_xlfn.XLOOKUP(B9, diagnoses_icd!B:B, diagnoses_icd!D:D)</f>
        <v>R310</v>
      </c>
    </row>
    <row r="10" spans="1:20" x14ac:dyDescent="0.2">
      <c r="A10">
        <v>10038081</v>
      </c>
      <c r="B10">
        <v>20755971</v>
      </c>
      <c r="C10" s="3">
        <v>78798.861111111109</v>
      </c>
      <c r="D10" s="3">
        <v>78813</v>
      </c>
      <c r="E10" s="3">
        <v>78813.930555555562</v>
      </c>
      <c r="F10" s="1" t="s">
        <v>25</v>
      </c>
      <c r="G10" s="1" t="s">
        <v>51</v>
      </c>
      <c r="H10" s="1" t="s">
        <v>27</v>
      </c>
      <c r="I10" s="1" t="s">
        <v>42</v>
      </c>
      <c r="J10" s="1" t="s">
        <v>47</v>
      </c>
      <c r="K10" s="1" t="s">
        <v>35</v>
      </c>
      <c r="L10" s="1" t="s">
        <v>31</v>
      </c>
      <c r="M10" s="1" t="s">
        <v>44</v>
      </c>
      <c r="N10" s="3"/>
      <c r="O10" s="3"/>
      <c r="P10">
        <v>1</v>
      </c>
      <c r="Q10" t="str">
        <f>_xlfn.XLOOKUP(A10, patients!A:A, patients!B:B)</f>
        <v>F</v>
      </c>
      <c r="R10">
        <f>_xlfn.XLOOKUP(A10, patients!A:A, patients!C:C)</f>
        <v>63</v>
      </c>
      <c r="S10" t="str">
        <f t="shared" si="0"/>
        <v>50-70</v>
      </c>
      <c r="T10" s="1" t="str">
        <f>_xlfn.XLOOKUP(B10, diagnoses_icd!B:B, diagnoses_icd!D:D)</f>
        <v>5187</v>
      </c>
    </row>
    <row r="11" spans="1:20" x14ac:dyDescent="0.2">
      <c r="A11">
        <v>10019917</v>
      </c>
      <c r="B11">
        <v>22585261</v>
      </c>
      <c r="C11" s="3">
        <v>103007.97569444444</v>
      </c>
      <c r="D11" s="3">
        <v>103010.70277777778</v>
      </c>
      <c r="E11" s="3"/>
      <c r="F11" s="1" t="s">
        <v>25</v>
      </c>
      <c r="G11" s="1" t="s">
        <v>52</v>
      </c>
      <c r="H11" s="1" t="s">
        <v>27</v>
      </c>
      <c r="I11" s="1" t="s">
        <v>46</v>
      </c>
      <c r="J11" s="1" t="s">
        <v>47</v>
      </c>
      <c r="K11" s="1" t="s">
        <v>30</v>
      </c>
      <c r="L11" s="1" t="s">
        <v>31</v>
      </c>
      <c r="M11" s="1" t="s">
        <v>53</v>
      </c>
      <c r="N11" s="3"/>
      <c r="O11" s="3"/>
      <c r="P11">
        <v>0</v>
      </c>
      <c r="Q11" t="str">
        <f>_xlfn.XLOOKUP(A11, patients!A:A, patients!B:B)</f>
        <v>M</v>
      </c>
      <c r="R11">
        <f>_xlfn.XLOOKUP(A11, patients!A:A, patients!C:C)</f>
        <v>44</v>
      </c>
      <c r="S11" t="str">
        <f t="shared" si="0"/>
        <v>30-50</v>
      </c>
      <c r="T11" s="1" t="str">
        <f>_xlfn.XLOOKUP(B11, diagnoses_icd!B:B, diagnoses_icd!D:D)</f>
        <v>2851</v>
      </c>
    </row>
    <row r="12" spans="1:20" x14ac:dyDescent="0.2">
      <c r="A12">
        <v>10037861</v>
      </c>
      <c r="B12">
        <v>24256866</v>
      </c>
      <c r="C12" s="3">
        <v>78810.852777777778</v>
      </c>
      <c r="D12" s="3">
        <v>78819.701388888891</v>
      </c>
      <c r="E12" s="3"/>
      <c r="F12" s="1" t="s">
        <v>25</v>
      </c>
      <c r="G12" s="1" t="s">
        <v>54</v>
      </c>
      <c r="H12" s="1" t="s">
        <v>27</v>
      </c>
      <c r="I12" s="1" t="s">
        <v>34</v>
      </c>
      <c r="J12" s="1" t="s">
        <v>39</v>
      </c>
      <c r="K12" s="1" t="s">
        <v>30</v>
      </c>
      <c r="L12" s="1" t="s">
        <v>36</v>
      </c>
      <c r="M12" s="1" t="s">
        <v>44</v>
      </c>
      <c r="N12" s="3"/>
      <c r="O12" s="3"/>
      <c r="P12">
        <v>0</v>
      </c>
      <c r="Q12" t="str">
        <f>_xlfn.XLOOKUP(A12, patients!A:A, patients!B:B)</f>
        <v>M</v>
      </c>
      <c r="R12">
        <f>_xlfn.XLOOKUP(A12, patients!A:A, patients!C:C)</f>
        <v>77</v>
      </c>
      <c r="S12" t="str">
        <f t="shared" si="0"/>
        <v>70+</v>
      </c>
      <c r="T12" s="1" t="str">
        <f>_xlfn.XLOOKUP(B12, diagnoses_icd!B:B, diagnoses_icd!D:D)</f>
        <v>41400</v>
      </c>
    </row>
    <row r="13" spans="1:20" x14ac:dyDescent="0.2">
      <c r="A13">
        <v>10026354</v>
      </c>
      <c r="B13">
        <v>24547356</v>
      </c>
      <c r="C13" s="3">
        <v>80288.299305555556</v>
      </c>
      <c r="D13" s="3">
        <v>80299.520833333328</v>
      </c>
      <c r="E13" s="3"/>
      <c r="F13" s="1" t="s">
        <v>25</v>
      </c>
      <c r="G13" s="1" t="s">
        <v>55</v>
      </c>
      <c r="H13" s="1" t="s">
        <v>27</v>
      </c>
      <c r="I13" s="1" t="s">
        <v>28</v>
      </c>
      <c r="J13" s="1" t="s">
        <v>47</v>
      </c>
      <c r="K13" s="1" t="s">
        <v>35</v>
      </c>
      <c r="L13" s="1" t="s">
        <v>43</v>
      </c>
      <c r="M13" s="1" t="s">
        <v>40</v>
      </c>
      <c r="N13" s="3">
        <v>80288.25</v>
      </c>
      <c r="O13" s="3">
        <v>80288.275694444441</v>
      </c>
      <c r="P13">
        <v>0</v>
      </c>
      <c r="Q13" t="str">
        <f>_xlfn.XLOOKUP(A13, patients!A:A, patients!B:B)</f>
        <v>M</v>
      </c>
      <c r="R13">
        <f>_xlfn.XLOOKUP(A13, patients!A:A, patients!C:C)</f>
        <v>34</v>
      </c>
      <c r="S13" t="str">
        <f t="shared" si="0"/>
        <v>30-50</v>
      </c>
      <c r="T13" s="1" t="str">
        <f>_xlfn.XLOOKUP(B13, diagnoses_icd!B:B, diagnoses_icd!D:D)</f>
        <v>D696</v>
      </c>
    </row>
    <row r="14" spans="1:20" x14ac:dyDescent="0.2">
      <c r="A14">
        <v>10015860</v>
      </c>
      <c r="B14">
        <v>26352758</v>
      </c>
      <c r="C14" s="3">
        <v>106920.38819444444</v>
      </c>
      <c r="D14" s="3">
        <v>106924.82777777778</v>
      </c>
      <c r="E14" s="3"/>
      <c r="F14" s="1" t="s">
        <v>25</v>
      </c>
      <c r="G14" s="1" t="s">
        <v>56</v>
      </c>
      <c r="H14" s="1" t="s">
        <v>57</v>
      </c>
      <c r="I14" s="1" t="s">
        <v>28</v>
      </c>
      <c r="J14" s="1" t="s">
        <v>47</v>
      </c>
      <c r="K14" s="1" t="s">
        <v>30</v>
      </c>
      <c r="L14" s="1" t="s">
        <v>31</v>
      </c>
      <c r="M14" s="1" t="s">
        <v>40</v>
      </c>
      <c r="N14" s="3">
        <v>106919.94652777778</v>
      </c>
      <c r="O14" s="3">
        <v>106920.40138888889</v>
      </c>
      <c r="P14">
        <v>0</v>
      </c>
      <c r="Q14" t="str">
        <f>_xlfn.XLOOKUP(A14, patients!A:A, patients!B:B)</f>
        <v>M</v>
      </c>
      <c r="R14">
        <f>_xlfn.XLOOKUP(A14, patients!A:A, patients!C:C)</f>
        <v>53</v>
      </c>
      <c r="S14" t="str">
        <f t="shared" si="0"/>
        <v>50-70</v>
      </c>
      <c r="T14" s="1" t="str">
        <f>_xlfn.XLOOKUP(B14, diagnoses_icd!B:B, diagnoses_icd!D:D)</f>
        <v>E1142</v>
      </c>
    </row>
    <row r="15" spans="1:20" x14ac:dyDescent="0.2">
      <c r="A15">
        <v>10020740</v>
      </c>
      <c r="B15">
        <v>23831430</v>
      </c>
      <c r="C15" s="3">
        <v>91382.648611111115</v>
      </c>
      <c r="D15" s="3">
        <v>91427.576388888891</v>
      </c>
      <c r="E15" s="3"/>
      <c r="F15" s="1" t="s">
        <v>25</v>
      </c>
      <c r="G15" s="1" t="s">
        <v>58</v>
      </c>
      <c r="H15" s="1" t="s">
        <v>27</v>
      </c>
      <c r="I15" s="1" t="s">
        <v>28</v>
      </c>
      <c r="J15" s="1" t="s">
        <v>47</v>
      </c>
      <c r="K15" s="1" t="s">
        <v>30</v>
      </c>
      <c r="L15" s="1" t="s">
        <v>31</v>
      </c>
      <c r="M15" s="1" t="s">
        <v>40</v>
      </c>
      <c r="N15" s="3"/>
      <c r="O15" s="3"/>
      <c r="P15">
        <v>0</v>
      </c>
      <c r="Q15" t="str">
        <f>_xlfn.XLOOKUP(A15, patients!A:A, patients!B:B)</f>
        <v>M</v>
      </c>
      <c r="R15">
        <f>_xlfn.XLOOKUP(A15, patients!A:A, patients!C:C)</f>
        <v>56</v>
      </c>
      <c r="S15" t="str">
        <f t="shared" si="0"/>
        <v>50-70</v>
      </c>
      <c r="T15" s="1" t="str">
        <f>_xlfn.XLOOKUP(B15, diagnoses_icd!B:B, diagnoses_icd!D:D)</f>
        <v>2859</v>
      </c>
    </row>
    <row r="16" spans="1:20" x14ac:dyDescent="0.2">
      <c r="A16">
        <v>10012552</v>
      </c>
      <c r="B16">
        <v>27089790</v>
      </c>
      <c r="C16" s="3">
        <v>87741.72083333334</v>
      </c>
      <c r="D16" s="3">
        <v>87749.590277777781</v>
      </c>
      <c r="E16" s="3"/>
      <c r="F16" s="1" t="s">
        <v>25</v>
      </c>
      <c r="G16" s="1" t="s">
        <v>59</v>
      </c>
      <c r="H16" s="1" t="s">
        <v>27</v>
      </c>
      <c r="I16" s="1" t="s">
        <v>34</v>
      </c>
      <c r="J16" s="1" t="s">
        <v>39</v>
      </c>
      <c r="K16" s="1" t="s">
        <v>30</v>
      </c>
      <c r="L16" s="1" t="s">
        <v>36</v>
      </c>
      <c r="M16" s="1" t="s">
        <v>44</v>
      </c>
      <c r="N16" s="3"/>
      <c r="O16" s="3"/>
      <c r="P16">
        <v>0</v>
      </c>
      <c r="Q16" t="str">
        <f>_xlfn.XLOOKUP(A16, patients!A:A, patients!B:B)</f>
        <v>M</v>
      </c>
      <c r="R16">
        <f>_xlfn.XLOOKUP(A16, patients!A:A, patients!C:C)</f>
        <v>78</v>
      </c>
      <c r="S16" t="str">
        <f t="shared" si="0"/>
        <v>70+</v>
      </c>
      <c r="T16" s="1" t="str">
        <f>_xlfn.XLOOKUP(B16, diagnoses_icd!B:B, diagnoses_icd!D:D)</f>
        <v>41401</v>
      </c>
    </row>
    <row r="17" spans="1:20" x14ac:dyDescent="0.2">
      <c r="A17">
        <v>10014354</v>
      </c>
      <c r="B17">
        <v>28335091</v>
      </c>
      <c r="C17" s="3">
        <v>90332.697222222225</v>
      </c>
      <c r="D17" s="3">
        <v>90335.645833333328</v>
      </c>
      <c r="E17" s="3"/>
      <c r="F17" s="1" t="s">
        <v>25</v>
      </c>
      <c r="G17" s="1" t="s">
        <v>50</v>
      </c>
      <c r="H17" s="1" t="s">
        <v>27</v>
      </c>
      <c r="I17" s="1" t="s">
        <v>34</v>
      </c>
      <c r="J17" s="1" t="s">
        <v>47</v>
      </c>
      <c r="K17" s="1" t="s">
        <v>30</v>
      </c>
      <c r="L17" s="1" t="s">
        <v>31</v>
      </c>
      <c r="M17" s="1" t="s">
        <v>40</v>
      </c>
      <c r="N17" s="3"/>
      <c r="O17" s="3"/>
      <c r="P17">
        <v>0</v>
      </c>
      <c r="Q17" t="str">
        <f>_xlfn.XLOOKUP(A17, patients!A:A, patients!B:B)</f>
        <v>M</v>
      </c>
      <c r="R17">
        <f>_xlfn.XLOOKUP(A17, patients!A:A, patients!C:C)</f>
        <v>60</v>
      </c>
      <c r="S17" t="str">
        <f t="shared" si="0"/>
        <v>50-70</v>
      </c>
      <c r="T17" s="1" t="str">
        <f>_xlfn.XLOOKUP(B17, diagnoses_icd!B:B, diagnoses_icd!D:D)</f>
        <v>E119</v>
      </c>
    </row>
    <row r="18" spans="1:20" x14ac:dyDescent="0.2">
      <c r="A18">
        <v>10014354</v>
      </c>
      <c r="B18">
        <v>27487226</v>
      </c>
      <c r="C18" s="3">
        <v>90763.047916666663</v>
      </c>
      <c r="D18" s="3">
        <v>90776.815972222219</v>
      </c>
      <c r="E18" s="3"/>
      <c r="F18" s="1" t="s">
        <v>25</v>
      </c>
      <c r="G18" s="1" t="s">
        <v>60</v>
      </c>
      <c r="H18" s="1" t="s">
        <v>27</v>
      </c>
      <c r="I18" s="1" t="s">
        <v>34</v>
      </c>
      <c r="J18" s="1" t="s">
        <v>47</v>
      </c>
      <c r="K18" s="1" t="s">
        <v>30</v>
      </c>
      <c r="L18" s="1" t="s">
        <v>31</v>
      </c>
      <c r="M18" s="1" t="s">
        <v>40</v>
      </c>
      <c r="N18" s="3">
        <v>90762.879166666666</v>
      </c>
      <c r="O18" s="3">
        <v>90763.102083333331</v>
      </c>
      <c r="P18">
        <v>0</v>
      </c>
      <c r="Q18" t="str">
        <f>_xlfn.XLOOKUP(A18, patients!A:A, patients!B:B)</f>
        <v>M</v>
      </c>
      <c r="R18">
        <f>_xlfn.XLOOKUP(A18, patients!A:A, patients!C:C)</f>
        <v>60</v>
      </c>
      <c r="S18" t="str">
        <f t="shared" si="0"/>
        <v>50-70</v>
      </c>
      <c r="T18" s="1" t="str">
        <f>_xlfn.XLOOKUP(B18, diagnoses_icd!B:B, diagnoses_icd!D:D)</f>
        <v>I4892</v>
      </c>
    </row>
    <row r="19" spans="1:20" x14ac:dyDescent="0.2">
      <c r="A19">
        <v>10039708</v>
      </c>
      <c r="B19">
        <v>25864431</v>
      </c>
      <c r="C19" s="3">
        <v>88475.255555555559</v>
      </c>
      <c r="D19" s="3">
        <v>88491.875</v>
      </c>
      <c r="E19" s="3"/>
      <c r="F19" s="1" t="s">
        <v>25</v>
      </c>
      <c r="G19" s="1" t="s">
        <v>61</v>
      </c>
      <c r="H19" s="1" t="s">
        <v>27</v>
      </c>
      <c r="I19" s="1" t="s">
        <v>34</v>
      </c>
      <c r="J19" s="1" t="s">
        <v>47</v>
      </c>
      <c r="K19" s="1" t="s">
        <v>30</v>
      </c>
      <c r="L19" s="1" t="s">
        <v>31</v>
      </c>
      <c r="M19" s="1" t="s">
        <v>62</v>
      </c>
      <c r="N19" s="3">
        <v>88474.931944444441</v>
      </c>
      <c r="O19" s="3">
        <v>88475.338888888888</v>
      </c>
      <c r="P19">
        <v>0</v>
      </c>
      <c r="Q19" t="str">
        <f>_xlfn.XLOOKUP(A19, patients!A:A, patients!B:B)</f>
        <v>F</v>
      </c>
      <c r="R19">
        <f>_xlfn.XLOOKUP(A19, patients!A:A, patients!C:C)</f>
        <v>46</v>
      </c>
      <c r="S19" t="str">
        <f t="shared" si="0"/>
        <v>30-50</v>
      </c>
      <c r="T19" s="1" t="str">
        <f>_xlfn.XLOOKUP(B19, diagnoses_icd!B:B, diagnoses_icd!D:D)</f>
        <v>F17210</v>
      </c>
    </row>
    <row r="20" spans="1:20" x14ac:dyDescent="0.2">
      <c r="A20">
        <v>10000032</v>
      </c>
      <c r="B20">
        <v>22595853</v>
      </c>
      <c r="C20" s="3">
        <v>102396.93263888889</v>
      </c>
      <c r="D20" s="3">
        <v>102397.71875</v>
      </c>
      <c r="E20" s="3"/>
      <c r="F20" s="1" t="s">
        <v>25</v>
      </c>
      <c r="G20" s="1" t="s">
        <v>63</v>
      </c>
      <c r="H20" s="1" t="s">
        <v>27</v>
      </c>
      <c r="I20" s="1" t="s">
        <v>46</v>
      </c>
      <c r="J20" s="1" t="s">
        <v>47</v>
      </c>
      <c r="K20" s="1" t="s">
        <v>30</v>
      </c>
      <c r="L20" s="1" t="s">
        <v>48</v>
      </c>
      <c r="M20" s="1" t="s">
        <v>40</v>
      </c>
      <c r="N20" s="3">
        <v>102396.80347222222</v>
      </c>
      <c r="O20" s="3">
        <v>102396.97916666667</v>
      </c>
      <c r="P20">
        <v>0</v>
      </c>
      <c r="Q20" t="str">
        <f>_xlfn.XLOOKUP(A20, patients!A:A, patients!B:B)</f>
        <v>F</v>
      </c>
      <c r="R20">
        <f>_xlfn.XLOOKUP(A20, patients!A:A, patients!C:C)</f>
        <v>52</v>
      </c>
      <c r="S20" t="str">
        <f t="shared" si="0"/>
        <v>50-70</v>
      </c>
      <c r="T20" s="1" t="str">
        <f>_xlfn.XLOOKUP(B20, diagnoses_icd!B:B, diagnoses_icd!D:D)</f>
        <v>496</v>
      </c>
    </row>
    <row r="21" spans="1:20" x14ac:dyDescent="0.2">
      <c r="A21">
        <v>10020786</v>
      </c>
      <c r="B21">
        <v>23488445</v>
      </c>
      <c r="C21" s="3">
        <v>105717.53125</v>
      </c>
      <c r="D21" s="3">
        <v>105721.72222222222</v>
      </c>
      <c r="E21" s="3"/>
      <c r="F21" s="1" t="s">
        <v>25</v>
      </c>
      <c r="G21" s="1" t="s">
        <v>64</v>
      </c>
      <c r="H21" s="1" t="s">
        <v>27</v>
      </c>
      <c r="I21" s="1" t="s">
        <v>46</v>
      </c>
      <c r="J21" s="1" t="s">
        <v>39</v>
      </c>
      <c r="K21" s="1" t="s">
        <v>30</v>
      </c>
      <c r="L21" s="1" t="s">
        <v>48</v>
      </c>
      <c r="M21" s="1" t="s">
        <v>40</v>
      </c>
      <c r="N21" s="3"/>
      <c r="O21" s="3"/>
      <c r="P21">
        <v>0</v>
      </c>
      <c r="Q21" t="str">
        <f>_xlfn.XLOOKUP(A21, patients!A:A, patients!B:B)</f>
        <v>F</v>
      </c>
      <c r="R21">
        <f>_xlfn.XLOOKUP(A21, patients!A:A, patients!C:C)</f>
        <v>86</v>
      </c>
      <c r="S21" t="str">
        <f t="shared" si="0"/>
        <v>70+</v>
      </c>
      <c r="T21" s="1" t="str">
        <f>_xlfn.XLOOKUP(B21, diagnoses_icd!B:B, diagnoses_icd!D:D)</f>
        <v>I4891</v>
      </c>
    </row>
    <row r="22" spans="1:20" x14ac:dyDescent="0.2">
      <c r="A22">
        <v>10027445</v>
      </c>
      <c r="B22">
        <v>27488741</v>
      </c>
      <c r="C22" s="3">
        <v>89828.82430555555</v>
      </c>
      <c r="D22" s="3">
        <v>89839.608333333337</v>
      </c>
      <c r="E22" s="3"/>
      <c r="F22" s="1" t="s">
        <v>25</v>
      </c>
      <c r="G22" s="1" t="s">
        <v>65</v>
      </c>
      <c r="H22" s="1" t="s">
        <v>27</v>
      </c>
      <c r="I22" s="1" t="s">
        <v>34</v>
      </c>
      <c r="J22" s="1" t="s">
        <v>47</v>
      </c>
      <c r="K22" s="1" t="s">
        <v>30</v>
      </c>
      <c r="L22" s="1" t="s">
        <v>48</v>
      </c>
      <c r="M22" s="1" t="s">
        <v>40</v>
      </c>
      <c r="N22" s="3"/>
      <c r="O22" s="3"/>
      <c r="P22">
        <v>0</v>
      </c>
      <c r="Q22" t="str">
        <f>_xlfn.XLOOKUP(A22, patients!A:A, patients!B:B)</f>
        <v>F</v>
      </c>
      <c r="R22">
        <f>_xlfn.XLOOKUP(A22, patients!A:A, patients!C:C)</f>
        <v>48</v>
      </c>
      <c r="S22" t="str">
        <f t="shared" si="0"/>
        <v>30-50</v>
      </c>
      <c r="T22" s="1" t="str">
        <f>_xlfn.XLOOKUP(B22, diagnoses_icd!B:B, diagnoses_icd!D:D)</f>
        <v>6822</v>
      </c>
    </row>
    <row r="23" spans="1:20" x14ac:dyDescent="0.2">
      <c r="A23">
        <v>10027445</v>
      </c>
      <c r="B23">
        <v>29163082</v>
      </c>
      <c r="C23" s="3">
        <v>88629.878472222219</v>
      </c>
      <c r="D23" s="3">
        <v>88638.731249999997</v>
      </c>
      <c r="E23" s="3"/>
      <c r="F23" s="1" t="s">
        <v>25</v>
      </c>
      <c r="G23" s="1" t="s">
        <v>66</v>
      </c>
      <c r="H23" s="1" t="s">
        <v>27</v>
      </c>
      <c r="I23" s="1" t="s">
        <v>34</v>
      </c>
      <c r="J23" s="1" t="s">
        <v>47</v>
      </c>
      <c r="K23" s="1" t="s">
        <v>30</v>
      </c>
      <c r="L23" s="1" t="s">
        <v>48</v>
      </c>
      <c r="M23" s="1" t="s">
        <v>40</v>
      </c>
      <c r="N23" s="3"/>
      <c r="O23" s="3"/>
      <c r="P23">
        <v>0</v>
      </c>
      <c r="Q23" t="str">
        <f>_xlfn.XLOOKUP(A23, patients!A:A, patients!B:B)</f>
        <v>F</v>
      </c>
      <c r="R23">
        <f>_xlfn.XLOOKUP(A23, patients!A:A, patients!C:C)</f>
        <v>48</v>
      </c>
      <c r="S23" t="str">
        <f t="shared" si="0"/>
        <v>30-50</v>
      </c>
      <c r="T23" s="1" t="str">
        <f>_xlfn.XLOOKUP(B23, diagnoses_icd!B:B, diagnoses_icd!D:D)</f>
        <v>4240</v>
      </c>
    </row>
    <row r="24" spans="1:20" x14ac:dyDescent="0.2">
      <c r="A24">
        <v>10015931</v>
      </c>
      <c r="B24">
        <v>22130791</v>
      </c>
      <c r="C24" s="3">
        <v>101257.90763888889</v>
      </c>
      <c r="D24" s="3">
        <v>101262.59375</v>
      </c>
      <c r="E24" s="3">
        <v>101262.59375</v>
      </c>
      <c r="F24" s="1" t="s">
        <v>25</v>
      </c>
      <c r="G24" s="1" t="s">
        <v>64</v>
      </c>
      <c r="H24" s="1" t="s">
        <v>27</v>
      </c>
      <c r="I24" s="1" t="s">
        <v>42</v>
      </c>
      <c r="J24" s="1" t="s">
        <v>39</v>
      </c>
      <c r="K24" s="1" t="s">
        <v>30</v>
      </c>
      <c r="L24" s="1" t="s">
        <v>36</v>
      </c>
      <c r="M24" s="1" t="s">
        <v>40</v>
      </c>
      <c r="N24" s="3"/>
      <c r="O24" s="3"/>
      <c r="P24">
        <v>1</v>
      </c>
      <c r="Q24" t="str">
        <f>_xlfn.XLOOKUP(A24, patients!A:A, patients!B:B)</f>
        <v>M</v>
      </c>
      <c r="R24">
        <f>_xlfn.XLOOKUP(A24, patients!A:A, patients!C:C)</f>
        <v>87</v>
      </c>
      <c r="S24" t="str">
        <f t="shared" si="0"/>
        <v>70+</v>
      </c>
      <c r="T24" s="1" t="str">
        <f>_xlfn.XLOOKUP(B24, diagnoses_icd!B:B, diagnoses_icd!D:D)</f>
        <v>I4891</v>
      </c>
    </row>
    <row r="25" spans="1:20" x14ac:dyDescent="0.2">
      <c r="A25">
        <v>10036156</v>
      </c>
      <c r="B25">
        <v>28019404</v>
      </c>
      <c r="C25" s="3">
        <v>94051.202777777784</v>
      </c>
      <c r="D25" s="3">
        <v>94053.630555555559</v>
      </c>
      <c r="E25" s="3"/>
      <c r="F25" s="1" t="s">
        <v>25</v>
      </c>
      <c r="G25" s="1" t="s">
        <v>67</v>
      </c>
      <c r="H25" s="1" t="s">
        <v>27</v>
      </c>
      <c r="I25" s="1" t="s">
        <v>46</v>
      </c>
      <c r="J25" s="1" t="s">
        <v>47</v>
      </c>
      <c r="K25" s="1" t="s">
        <v>30</v>
      </c>
      <c r="L25" s="1" t="s">
        <v>43</v>
      </c>
      <c r="M25" s="1" t="s">
        <v>44</v>
      </c>
      <c r="N25" s="3"/>
      <c r="O25" s="3"/>
      <c r="P25">
        <v>0</v>
      </c>
      <c r="Q25" t="str">
        <f>_xlfn.XLOOKUP(A25, patients!A:A, patients!B:B)</f>
        <v>F</v>
      </c>
      <c r="R25">
        <f>_xlfn.XLOOKUP(A25, patients!A:A, patients!C:C)</f>
        <v>88</v>
      </c>
      <c r="S25" t="str">
        <f t="shared" si="0"/>
        <v>70+</v>
      </c>
      <c r="T25" s="1" t="str">
        <f>_xlfn.XLOOKUP(B25, diagnoses_icd!B:B, diagnoses_icd!D:D)</f>
        <v>2724</v>
      </c>
    </row>
    <row r="26" spans="1:20" x14ac:dyDescent="0.2">
      <c r="A26">
        <v>10021312</v>
      </c>
      <c r="B26">
        <v>25020332</v>
      </c>
      <c r="C26" s="3">
        <v>78026.022222222222</v>
      </c>
      <c r="D26" s="3">
        <v>78028.732638888891</v>
      </c>
      <c r="E26" s="3"/>
      <c r="F26" s="1" t="s">
        <v>25</v>
      </c>
      <c r="G26" s="1" t="s">
        <v>68</v>
      </c>
      <c r="H26" s="1" t="s">
        <v>27</v>
      </c>
      <c r="I26" s="1" t="s">
        <v>46</v>
      </c>
      <c r="J26" s="1" t="s">
        <v>47</v>
      </c>
      <c r="K26" s="1" t="s">
        <v>30</v>
      </c>
      <c r="L26" s="1" t="s">
        <v>43</v>
      </c>
      <c r="M26" s="1" t="s">
        <v>44</v>
      </c>
      <c r="N26" s="3"/>
      <c r="O26" s="3"/>
      <c r="P26">
        <v>0</v>
      </c>
      <c r="Q26" t="str">
        <f>_xlfn.XLOOKUP(A26, patients!A:A, patients!B:B)</f>
        <v>F</v>
      </c>
      <c r="R26">
        <f>_xlfn.XLOOKUP(A26, patients!A:A, patients!C:C)</f>
        <v>55</v>
      </c>
      <c r="S26" t="str">
        <f t="shared" si="0"/>
        <v>50-70</v>
      </c>
      <c r="T26" s="1" t="str">
        <f>_xlfn.XLOOKUP(B26, diagnoses_icd!B:B, diagnoses_icd!D:D)</f>
        <v>C3402</v>
      </c>
    </row>
    <row r="27" spans="1:20" x14ac:dyDescent="0.2">
      <c r="A27">
        <v>10021312</v>
      </c>
      <c r="B27">
        <v>28829452</v>
      </c>
      <c r="C27" s="3">
        <v>78053.612500000003</v>
      </c>
      <c r="D27" s="3">
        <v>78061.777777777781</v>
      </c>
      <c r="E27" s="3"/>
      <c r="F27" s="1" t="s">
        <v>25</v>
      </c>
      <c r="G27" s="1" t="s">
        <v>69</v>
      </c>
      <c r="H27" s="1" t="s">
        <v>27</v>
      </c>
      <c r="I27" s="1" t="s">
        <v>70</v>
      </c>
      <c r="J27" s="1" t="s">
        <v>47</v>
      </c>
      <c r="K27" s="1" t="s">
        <v>30</v>
      </c>
      <c r="L27" s="1" t="s">
        <v>43</v>
      </c>
      <c r="M27" s="1" t="s">
        <v>44</v>
      </c>
      <c r="N27" s="3"/>
      <c r="O27" s="3"/>
      <c r="P27">
        <v>0</v>
      </c>
      <c r="Q27" t="str">
        <f>_xlfn.XLOOKUP(A27, patients!A:A, patients!B:B)</f>
        <v>F</v>
      </c>
      <c r="R27">
        <f>_xlfn.XLOOKUP(A27, patients!A:A, patients!C:C)</f>
        <v>55</v>
      </c>
      <c r="S27" t="str">
        <f t="shared" si="0"/>
        <v>50-70</v>
      </c>
      <c r="T27" s="1" t="str">
        <f>_xlfn.XLOOKUP(B27, diagnoses_icd!B:B, diagnoses_icd!D:D)</f>
        <v>G8929</v>
      </c>
    </row>
    <row r="28" spans="1:20" x14ac:dyDescent="0.2">
      <c r="A28">
        <v>10003400</v>
      </c>
      <c r="B28">
        <v>23559586</v>
      </c>
      <c r="C28" s="3">
        <v>86780.004861111112</v>
      </c>
      <c r="D28" s="3">
        <v>86809.711805555562</v>
      </c>
      <c r="E28" s="3">
        <v>86809.711805555562</v>
      </c>
      <c r="F28" s="1" t="s">
        <v>25</v>
      </c>
      <c r="G28" s="1" t="s">
        <v>71</v>
      </c>
      <c r="H28" s="1" t="s">
        <v>27</v>
      </c>
      <c r="I28" s="1" t="s">
        <v>42</v>
      </c>
      <c r="J28" s="1" t="s">
        <v>39</v>
      </c>
      <c r="K28" s="1" t="s">
        <v>30</v>
      </c>
      <c r="L28" s="1" t="s">
        <v>36</v>
      </c>
      <c r="M28" s="1" t="s">
        <v>62</v>
      </c>
      <c r="N28" s="3"/>
      <c r="O28" s="3"/>
      <c r="P28">
        <v>1</v>
      </c>
      <c r="Q28" t="str">
        <f>_xlfn.XLOOKUP(A28, patients!A:A, patients!B:B)</f>
        <v>F</v>
      </c>
      <c r="R28">
        <f>_xlfn.XLOOKUP(A28, patients!A:A, patients!C:C)</f>
        <v>72</v>
      </c>
      <c r="S28" t="str">
        <f t="shared" si="0"/>
        <v>70+</v>
      </c>
      <c r="T28" s="1" t="str">
        <f>_xlfn.XLOOKUP(B28, diagnoses_icd!B:B, diagnoses_icd!D:D)</f>
        <v>E669</v>
      </c>
    </row>
    <row r="29" spans="1:20" x14ac:dyDescent="0.2">
      <c r="A29">
        <v>10003400</v>
      </c>
      <c r="B29">
        <v>20214994</v>
      </c>
      <c r="C29" s="3">
        <v>86619.416666666672</v>
      </c>
      <c r="D29" s="3">
        <v>86642.65625</v>
      </c>
      <c r="E29" s="3"/>
      <c r="F29" s="1" t="s">
        <v>25</v>
      </c>
      <c r="G29" s="1" t="s">
        <v>72</v>
      </c>
      <c r="H29" s="1" t="s">
        <v>57</v>
      </c>
      <c r="I29" s="1" t="s">
        <v>73</v>
      </c>
      <c r="J29" s="1" t="s">
        <v>39</v>
      </c>
      <c r="K29" s="1" t="s">
        <v>30</v>
      </c>
      <c r="L29" s="1" t="s">
        <v>36</v>
      </c>
      <c r="M29" s="1" t="s">
        <v>62</v>
      </c>
      <c r="N29" s="3"/>
      <c r="O29" s="3"/>
      <c r="P29">
        <v>0</v>
      </c>
      <c r="Q29" t="str">
        <f>_xlfn.XLOOKUP(A29, patients!A:A, patients!B:B)</f>
        <v>F</v>
      </c>
      <c r="R29">
        <f>_xlfn.XLOOKUP(A29, patients!A:A, patients!C:C)</f>
        <v>72</v>
      </c>
      <c r="S29" t="str">
        <f t="shared" si="0"/>
        <v>70+</v>
      </c>
      <c r="T29" s="1" t="str">
        <f>_xlfn.XLOOKUP(B29, diagnoses_icd!B:B, diagnoses_icd!D:D)</f>
        <v>99859</v>
      </c>
    </row>
    <row r="30" spans="1:20" x14ac:dyDescent="0.2">
      <c r="A30">
        <v>10023117</v>
      </c>
      <c r="B30">
        <v>24244087</v>
      </c>
      <c r="C30" s="3">
        <v>100236.97569444444</v>
      </c>
      <c r="D30" s="3">
        <v>100241.66319444444</v>
      </c>
      <c r="E30" s="3"/>
      <c r="F30" s="1" t="s">
        <v>25</v>
      </c>
      <c r="G30" s="1" t="s">
        <v>74</v>
      </c>
      <c r="H30" s="1" t="s">
        <v>27</v>
      </c>
      <c r="I30" s="1" t="s">
        <v>46</v>
      </c>
      <c r="J30" s="1" t="s">
        <v>39</v>
      </c>
      <c r="K30" s="1" t="s">
        <v>30</v>
      </c>
      <c r="L30" s="1" t="s">
        <v>48</v>
      </c>
      <c r="M30" s="1" t="s">
        <v>40</v>
      </c>
      <c r="N30" s="3">
        <v>100236.68333333333</v>
      </c>
      <c r="O30" s="3">
        <v>100237.04305555555</v>
      </c>
      <c r="P30">
        <v>0</v>
      </c>
      <c r="Q30" t="str">
        <f>_xlfn.XLOOKUP(A30, patients!A:A, patients!B:B)</f>
        <v>M</v>
      </c>
      <c r="R30">
        <f>_xlfn.XLOOKUP(A30, patients!A:A, patients!C:C)</f>
        <v>53</v>
      </c>
      <c r="S30" t="str">
        <f t="shared" si="0"/>
        <v>50-70</v>
      </c>
      <c r="T30" s="1" t="str">
        <f>_xlfn.XLOOKUP(B30, diagnoses_icd!B:B, diagnoses_icd!D:D)</f>
        <v>V5866</v>
      </c>
    </row>
    <row r="31" spans="1:20" x14ac:dyDescent="0.2">
      <c r="A31">
        <v>10038992</v>
      </c>
      <c r="B31">
        <v>22797747</v>
      </c>
      <c r="C31" s="3">
        <v>104402.76805555556</v>
      </c>
      <c r="D31" s="3">
        <v>104408.68194444444</v>
      </c>
      <c r="E31" s="3"/>
      <c r="F31" s="1" t="s">
        <v>25</v>
      </c>
      <c r="G31" s="1" t="s">
        <v>75</v>
      </c>
      <c r="H31" s="1" t="s">
        <v>27</v>
      </c>
      <c r="I31" s="1" t="s">
        <v>34</v>
      </c>
      <c r="J31" s="1" t="s">
        <v>39</v>
      </c>
      <c r="K31" s="1" t="s">
        <v>30</v>
      </c>
      <c r="L31" s="1" t="s">
        <v>36</v>
      </c>
      <c r="M31" s="1" t="s">
        <v>44</v>
      </c>
      <c r="N31" s="3"/>
      <c r="O31" s="3"/>
      <c r="P31">
        <v>0</v>
      </c>
      <c r="Q31" t="str">
        <f>_xlfn.XLOOKUP(A31, patients!A:A, patients!B:B)</f>
        <v>M</v>
      </c>
      <c r="R31">
        <f>_xlfn.XLOOKUP(A31, patients!A:A, patients!C:C)</f>
        <v>70</v>
      </c>
      <c r="S31" t="str">
        <f t="shared" si="0"/>
        <v>50-70</v>
      </c>
      <c r="T31" s="1" t="str">
        <f>_xlfn.XLOOKUP(B31, diagnoses_icd!B:B, diagnoses_icd!D:D)</f>
        <v>4239</v>
      </c>
    </row>
    <row r="32" spans="1:20" x14ac:dyDescent="0.2">
      <c r="A32">
        <v>10037975</v>
      </c>
      <c r="B32">
        <v>27617929</v>
      </c>
      <c r="C32" s="3">
        <v>104113.79930555556</v>
      </c>
      <c r="D32" s="3">
        <v>104118.60069444444</v>
      </c>
      <c r="E32" s="3">
        <v>104118.60069444444</v>
      </c>
      <c r="F32" s="1" t="s">
        <v>25</v>
      </c>
      <c r="G32" s="1" t="s">
        <v>76</v>
      </c>
      <c r="H32" s="1" t="s">
        <v>27</v>
      </c>
      <c r="I32" s="1" t="s">
        <v>42</v>
      </c>
      <c r="J32" s="1" t="s">
        <v>39</v>
      </c>
      <c r="K32" s="1" t="s">
        <v>30</v>
      </c>
      <c r="L32" s="1" t="s">
        <v>36</v>
      </c>
      <c r="M32" s="1" t="s">
        <v>44</v>
      </c>
      <c r="N32" s="3"/>
      <c r="O32" s="3"/>
      <c r="P32">
        <v>1</v>
      </c>
      <c r="Q32" t="str">
        <f>_xlfn.XLOOKUP(A32, patients!A:A, patients!B:B)</f>
        <v>M</v>
      </c>
      <c r="R32">
        <f>_xlfn.XLOOKUP(A32, patients!A:A, patients!C:C)</f>
        <v>60</v>
      </c>
      <c r="S32" t="str">
        <f t="shared" si="0"/>
        <v>50-70</v>
      </c>
      <c r="T32" s="1" t="str">
        <f>_xlfn.XLOOKUP(B32, diagnoses_icd!B:B, diagnoses_icd!D:D)</f>
        <v>V667</v>
      </c>
    </row>
    <row r="33" spans="1:20" x14ac:dyDescent="0.2">
      <c r="A33">
        <v>10035185</v>
      </c>
      <c r="B33">
        <v>22580999</v>
      </c>
      <c r="C33" s="3">
        <v>80487.536805555559</v>
      </c>
      <c r="D33" s="3">
        <v>80492.666666666672</v>
      </c>
      <c r="E33" s="3"/>
      <c r="F33" s="1" t="s">
        <v>25</v>
      </c>
      <c r="G33" s="1" t="s">
        <v>33</v>
      </c>
      <c r="H33" s="1" t="s">
        <v>27</v>
      </c>
      <c r="I33" s="1" t="s">
        <v>34</v>
      </c>
      <c r="J33" s="1" t="s">
        <v>47</v>
      </c>
      <c r="K33" s="1" t="s">
        <v>30</v>
      </c>
      <c r="L33" s="1" t="s">
        <v>36</v>
      </c>
      <c r="M33" s="1" t="s">
        <v>40</v>
      </c>
      <c r="N33" s="3"/>
      <c r="O33" s="3"/>
      <c r="P33">
        <v>0</v>
      </c>
      <c r="Q33" t="str">
        <f>_xlfn.XLOOKUP(A33, patients!A:A, patients!B:B)</f>
        <v>M</v>
      </c>
      <c r="R33">
        <f>_xlfn.XLOOKUP(A33, patients!A:A, patients!C:C)</f>
        <v>70</v>
      </c>
      <c r="S33" t="str">
        <f t="shared" si="0"/>
        <v>50-70</v>
      </c>
      <c r="T33" s="1" t="str">
        <f>_xlfn.XLOOKUP(B33, diagnoses_icd!B:B, diagnoses_icd!D:D)</f>
        <v>4139</v>
      </c>
    </row>
    <row r="34" spans="1:20" x14ac:dyDescent="0.2">
      <c r="A34">
        <v>10002930</v>
      </c>
      <c r="B34">
        <v>28301173</v>
      </c>
      <c r="C34" s="3">
        <v>108577.81736111111</v>
      </c>
      <c r="D34" s="3">
        <v>108584.50069444445</v>
      </c>
      <c r="E34" s="3"/>
      <c r="F34" s="1" t="s">
        <v>25</v>
      </c>
      <c r="G34" s="1" t="s">
        <v>77</v>
      </c>
      <c r="H34" s="1" t="s">
        <v>78</v>
      </c>
      <c r="I34" s="1" t="s">
        <v>46</v>
      </c>
      <c r="J34" s="1" t="s">
        <v>39</v>
      </c>
      <c r="K34" s="1" t="s">
        <v>30</v>
      </c>
      <c r="L34" s="1" t="s">
        <v>31</v>
      </c>
      <c r="M34" s="1" t="s">
        <v>62</v>
      </c>
      <c r="N34" s="3"/>
      <c r="O34" s="3"/>
      <c r="P34">
        <v>0</v>
      </c>
      <c r="Q34" t="str">
        <f>_xlfn.XLOOKUP(A34, patients!A:A, patients!B:B)</f>
        <v>F</v>
      </c>
      <c r="R34">
        <f>_xlfn.XLOOKUP(A34, patients!A:A, patients!C:C)</f>
        <v>48</v>
      </c>
      <c r="S34" t="str">
        <f t="shared" si="0"/>
        <v>30-50</v>
      </c>
      <c r="T34" s="1" t="str">
        <f>_xlfn.XLOOKUP(B34, diagnoses_icd!B:B, diagnoses_icd!D:D)</f>
        <v>V6284</v>
      </c>
    </row>
    <row r="35" spans="1:20" x14ac:dyDescent="0.2">
      <c r="A35">
        <v>10002930</v>
      </c>
      <c r="B35">
        <v>22733922</v>
      </c>
      <c r="C35" s="3">
        <v>108956.67847222222</v>
      </c>
      <c r="D35" s="3">
        <v>108968.55555555556</v>
      </c>
      <c r="E35" s="3"/>
      <c r="F35" s="1" t="s">
        <v>25</v>
      </c>
      <c r="G35" s="1" t="s">
        <v>77</v>
      </c>
      <c r="H35" s="1" t="s">
        <v>78</v>
      </c>
      <c r="I35" s="1" t="s">
        <v>46</v>
      </c>
      <c r="J35" s="1" t="s">
        <v>39</v>
      </c>
      <c r="K35" s="1" t="s">
        <v>30</v>
      </c>
      <c r="L35" s="1" t="s">
        <v>31</v>
      </c>
      <c r="M35" s="1" t="s">
        <v>62</v>
      </c>
      <c r="N35" s="3"/>
      <c r="O35" s="3"/>
      <c r="P35">
        <v>0</v>
      </c>
      <c r="Q35" t="str">
        <f>_xlfn.XLOOKUP(A35, patients!A:A, patients!B:B)</f>
        <v>F</v>
      </c>
      <c r="R35">
        <f>_xlfn.XLOOKUP(A35, patients!A:A, patients!C:C)</f>
        <v>48</v>
      </c>
      <c r="S35" t="str">
        <f t="shared" si="0"/>
        <v>30-50</v>
      </c>
      <c r="T35" s="1" t="str">
        <f>_xlfn.XLOOKUP(B35, diagnoses_icd!B:B, diagnoses_icd!D:D)</f>
        <v>B20</v>
      </c>
    </row>
    <row r="36" spans="1:20" x14ac:dyDescent="0.2">
      <c r="A36">
        <v>10007795</v>
      </c>
      <c r="B36">
        <v>28477357</v>
      </c>
      <c r="C36" s="3">
        <v>86299.856249999997</v>
      </c>
      <c r="D36" s="3">
        <v>86321.690972222219</v>
      </c>
      <c r="E36" s="3"/>
      <c r="F36" s="1" t="s">
        <v>25</v>
      </c>
      <c r="G36" s="1" t="s">
        <v>79</v>
      </c>
      <c r="H36" s="1" t="s">
        <v>27</v>
      </c>
      <c r="I36" s="1" t="s">
        <v>73</v>
      </c>
      <c r="J36" s="1" t="s">
        <v>39</v>
      </c>
      <c r="K36" s="1" t="s">
        <v>30</v>
      </c>
      <c r="L36" s="1" t="s">
        <v>31</v>
      </c>
      <c r="M36" s="1" t="s">
        <v>40</v>
      </c>
      <c r="N36" s="3"/>
      <c r="O36" s="3"/>
      <c r="P36">
        <v>0</v>
      </c>
      <c r="Q36" t="str">
        <f>_xlfn.XLOOKUP(A36, patients!A:A, patients!B:B)</f>
        <v>F</v>
      </c>
      <c r="R36">
        <f>_xlfn.XLOOKUP(A36, patients!A:A, patients!C:C)</f>
        <v>53</v>
      </c>
      <c r="S36" t="str">
        <f t="shared" si="0"/>
        <v>50-70</v>
      </c>
      <c r="T36" s="1" t="str">
        <f>_xlfn.XLOOKUP(B36, diagnoses_icd!B:B, diagnoses_icd!D:D)</f>
        <v>5184</v>
      </c>
    </row>
    <row r="37" spans="1:20" x14ac:dyDescent="0.2">
      <c r="A37">
        <v>10007795</v>
      </c>
      <c r="B37">
        <v>25135483</v>
      </c>
      <c r="C37" s="3">
        <v>86323.847222222219</v>
      </c>
      <c r="D37" s="3">
        <v>86331.71666666666</v>
      </c>
      <c r="E37" s="3"/>
      <c r="F37" s="1" t="s">
        <v>25</v>
      </c>
      <c r="G37" s="1" t="s">
        <v>80</v>
      </c>
      <c r="H37" s="1" t="s">
        <v>27</v>
      </c>
      <c r="I37" s="1" t="s">
        <v>81</v>
      </c>
      <c r="J37" s="1" t="s">
        <v>39</v>
      </c>
      <c r="K37" s="1" t="s">
        <v>30</v>
      </c>
      <c r="L37" s="1" t="s">
        <v>31</v>
      </c>
      <c r="M37" s="1" t="s">
        <v>40</v>
      </c>
      <c r="N37" s="3"/>
      <c r="O37" s="3"/>
      <c r="P37">
        <v>0</v>
      </c>
      <c r="Q37" t="str">
        <f>_xlfn.XLOOKUP(A37, patients!A:A, patients!B:B)</f>
        <v>F</v>
      </c>
      <c r="R37">
        <f>_xlfn.XLOOKUP(A37, patients!A:A, patients!C:C)</f>
        <v>53</v>
      </c>
      <c r="S37" t="str">
        <f t="shared" si="0"/>
        <v>50-70</v>
      </c>
      <c r="T37" s="1" t="str">
        <f>_xlfn.XLOOKUP(B37, diagnoses_icd!B:B, diagnoses_icd!D:D)</f>
        <v>1179</v>
      </c>
    </row>
    <row r="38" spans="1:20" x14ac:dyDescent="0.2">
      <c r="A38">
        <v>10004733</v>
      </c>
      <c r="B38">
        <v>27411876</v>
      </c>
      <c r="C38" s="3">
        <v>100416.47777777778</v>
      </c>
      <c r="D38" s="3">
        <v>100439.58333333333</v>
      </c>
      <c r="E38" s="3"/>
      <c r="F38" s="1" t="s">
        <v>25</v>
      </c>
      <c r="G38" s="1" t="s">
        <v>82</v>
      </c>
      <c r="H38" s="1" t="s">
        <v>27</v>
      </c>
      <c r="I38" s="1" t="s">
        <v>34</v>
      </c>
      <c r="J38" s="1" t="s">
        <v>29</v>
      </c>
      <c r="K38" s="1" t="s">
        <v>30</v>
      </c>
      <c r="L38" s="1" t="s">
        <v>31</v>
      </c>
      <c r="M38" s="1" t="s">
        <v>44</v>
      </c>
      <c r="N38" s="3"/>
      <c r="O38" s="3"/>
      <c r="P38">
        <v>0</v>
      </c>
      <c r="Q38" t="str">
        <f>_xlfn.XLOOKUP(A38, patients!A:A, patients!B:B)</f>
        <v>M</v>
      </c>
      <c r="R38">
        <f>_xlfn.XLOOKUP(A38, patients!A:A, patients!C:C)</f>
        <v>51</v>
      </c>
      <c r="S38" t="str">
        <f t="shared" si="0"/>
        <v>50-70</v>
      </c>
      <c r="T38" s="1" t="str">
        <f>_xlfn.XLOOKUP(B38, diagnoses_icd!B:B, diagnoses_icd!D:D)</f>
        <v>5849</v>
      </c>
    </row>
    <row r="39" spans="1:20" x14ac:dyDescent="0.2">
      <c r="A39">
        <v>10021118</v>
      </c>
      <c r="B39">
        <v>24490144</v>
      </c>
      <c r="C39" s="3">
        <v>95649.840277777781</v>
      </c>
      <c r="D39" s="3">
        <v>95657.666666666672</v>
      </c>
      <c r="E39" s="3"/>
      <c r="F39" s="1" t="s">
        <v>25</v>
      </c>
      <c r="G39" s="1" t="s">
        <v>83</v>
      </c>
      <c r="H39" s="1" t="s">
        <v>27</v>
      </c>
      <c r="I39" s="1" t="s">
        <v>34</v>
      </c>
      <c r="J39" s="1" t="s">
        <v>47</v>
      </c>
      <c r="K39" s="1" t="s">
        <v>30</v>
      </c>
      <c r="L39" s="1" t="s">
        <v>36</v>
      </c>
      <c r="M39" s="1" t="s">
        <v>40</v>
      </c>
      <c r="N39" s="3"/>
      <c r="O39" s="3"/>
      <c r="P39">
        <v>0</v>
      </c>
      <c r="Q39" t="str">
        <f>_xlfn.XLOOKUP(A39, patients!A:A, patients!B:B)</f>
        <v>M</v>
      </c>
      <c r="R39">
        <f>_xlfn.XLOOKUP(A39, patients!A:A, patients!C:C)</f>
        <v>62</v>
      </c>
      <c r="S39" t="str">
        <f t="shared" si="0"/>
        <v>50-70</v>
      </c>
      <c r="T39" s="1" t="str">
        <f>_xlfn.XLOOKUP(B39, diagnoses_icd!B:B, diagnoses_icd!D:D)</f>
        <v>I10</v>
      </c>
    </row>
    <row r="40" spans="1:20" x14ac:dyDescent="0.2">
      <c r="A40">
        <v>10006580</v>
      </c>
      <c r="B40">
        <v>24159665</v>
      </c>
      <c r="C40" s="3">
        <v>86786.458333333328</v>
      </c>
      <c r="D40" s="3">
        <v>86791.559027777781</v>
      </c>
      <c r="E40" s="3"/>
      <c r="F40" s="1" t="s">
        <v>84</v>
      </c>
      <c r="G40" s="1" t="s">
        <v>85</v>
      </c>
      <c r="H40" s="1" t="s">
        <v>86</v>
      </c>
      <c r="I40" s="1" t="s">
        <v>46</v>
      </c>
      <c r="J40" s="1" t="s">
        <v>29</v>
      </c>
      <c r="K40" s="1" t="s">
        <v>35</v>
      </c>
      <c r="L40" s="1" t="s">
        <v>36</v>
      </c>
      <c r="M40" s="1" t="s">
        <v>87</v>
      </c>
      <c r="N40" s="3"/>
      <c r="O40" s="3"/>
      <c r="P40">
        <v>0</v>
      </c>
      <c r="Q40" t="str">
        <f>_xlfn.XLOOKUP(A40, patients!A:A, patients!B:B)</f>
        <v>F</v>
      </c>
      <c r="R40">
        <f>_xlfn.XLOOKUP(A40, patients!A:A, patients!C:C)</f>
        <v>63</v>
      </c>
      <c r="S40" t="str">
        <f t="shared" si="0"/>
        <v>50-70</v>
      </c>
      <c r="T40" s="1" t="str">
        <f>_xlfn.XLOOKUP(B40, diagnoses_icd!B:B, diagnoses_icd!D:D)</f>
        <v>2749</v>
      </c>
    </row>
    <row r="41" spans="1:20" x14ac:dyDescent="0.2">
      <c r="A41">
        <v>10023771</v>
      </c>
      <c r="B41">
        <v>20044587</v>
      </c>
      <c r="C41" s="3">
        <v>78035.302083333328</v>
      </c>
      <c r="D41" s="3">
        <v>78040.59375</v>
      </c>
      <c r="E41" s="3"/>
      <c r="F41" s="1" t="s">
        <v>84</v>
      </c>
      <c r="G41" s="1" t="s">
        <v>59</v>
      </c>
      <c r="H41" s="1" t="s">
        <v>86</v>
      </c>
      <c r="I41" s="1" t="s">
        <v>28</v>
      </c>
      <c r="J41" s="1" t="s">
        <v>39</v>
      </c>
      <c r="K41" s="1" t="s">
        <v>30</v>
      </c>
      <c r="L41" s="1" t="s">
        <v>36</v>
      </c>
      <c r="M41" s="1" t="s">
        <v>40</v>
      </c>
      <c r="N41" s="3"/>
      <c r="O41" s="3"/>
      <c r="P41">
        <v>0</v>
      </c>
      <c r="Q41" t="str">
        <f>_xlfn.XLOOKUP(A41, patients!A:A, patients!B:B)</f>
        <v>M</v>
      </c>
      <c r="R41">
        <f>_xlfn.XLOOKUP(A41, patients!A:A, patients!C:C)</f>
        <v>70</v>
      </c>
      <c r="S41" t="str">
        <f t="shared" si="0"/>
        <v>50-70</v>
      </c>
      <c r="T41" s="1" t="str">
        <f>_xlfn.XLOOKUP(B41, diagnoses_icd!B:B, diagnoses_icd!D:D)</f>
        <v>99811</v>
      </c>
    </row>
    <row r="42" spans="1:20" x14ac:dyDescent="0.2">
      <c r="A42">
        <v>10005348</v>
      </c>
      <c r="B42">
        <v>29496232</v>
      </c>
      <c r="C42" s="3">
        <v>83525.354166666672</v>
      </c>
      <c r="D42" s="3">
        <v>83532.704861111109</v>
      </c>
      <c r="E42" s="3"/>
      <c r="F42" s="1" t="s">
        <v>84</v>
      </c>
      <c r="G42" s="1" t="s">
        <v>88</v>
      </c>
      <c r="H42" s="1" t="s">
        <v>86</v>
      </c>
      <c r="I42" s="1" t="s">
        <v>34</v>
      </c>
      <c r="J42" s="1" t="s">
        <v>47</v>
      </c>
      <c r="K42" s="1" t="s">
        <v>30</v>
      </c>
      <c r="L42" s="1" t="s">
        <v>36</v>
      </c>
      <c r="M42" s="1" t="s">
        <v>40</v>
      </c>
      <c r="N42" s="3"/>
      <c r="O42" s="3"/>
      <c r="P42">
        <v>0</v>
      </c>
      <c r="Q42" t="str">
        <f>_xlfn.XLOOKUP(A42, patients!A:A, patients!B:B)</f>
        <v>M</v>
      </c>
      <c r="R42">
        <f>_xlfn.XLOOKUP(A42, patients!A:A, patients!C:C)</f>
        <v>76</v>
      </c>
      <c r="S42" t="str">
        <f t="shared" si="0"/>
        <v>70+</v>
      </c>
      <c r="T42" s="1" t="str">
        <f>_xlfn.XLOOKUP(B42, diagnoses_icd!B:B, diagnoses_icd!D:D)</f>
        <v>2752</v>
      </c>
    </row>
    <row r="43" spans="1:20" x14ac:dyDescent="0.2">
      <c r="A43">
        <v>10019172</v>
      </c>
      <c r="B43">
        <v>24997044</v>
      </c>
      <c r="C43" s="3">
        <v>79943.583333333328</v>
      </c>
      <c r="D43" s="3">
        <v>79949.771527777775</v>
      </c>
      <c r="E43" s="3"/>
      <c r="F43" s="1" t="s">
        <v>84</v>
      </c>
      <c r="G43" s="1" t="s">
        <v>33</v>
      </c>
      <c r="H43" s="1" t="s">
        <v>86</v>
      </c>
      <c r="I43" s="1" t="s">
        <v>34</v>
      </c>
      <c r="J43" s="1" t="s">
        <v>47</v>
      </c>
      <c r="K43" s="1" t="s">
        <v>30</v>
      </c>
      <c r="L43" s="1" t="s">
        <v>43</v>
      </c>
      <c r="M43" s="1" t="s">
        <v>89</v>
      </c>
      <c r="N43" s="3"/>
      <c r="O43" s="3"/>
      <c r="P43">
        <v>0</v>
      </c>
      <c r="Q43" t="str">
        <f>_xlfn.XLOOKUP(A43, patients!A:A, patients!B:B)</f>
        <v>F</v>
      </c>
      <c r="R43">
        <f>_xlfn.XLOOKUP(A43, patients!A:A, patients!C:C)</f>
        <v>63</v>
      </c>
      <c r="S43" t="str">
        <f t="shared" si="0"/>
        <v>50-70</v>
      </c>
      <c r="T43" s="1" t="str">
        <f>_xlfn.XLOOKUP(B43, diagnoses_icd!B:B, diagnoses_icd!D:D)</f>
        <v>42731</v>
      </c>
    </row>
    <row r="44" spans="1:20" x14ac:dyDescent="0.2">
      <c r="A44">
        <v>10019172</v>
      </c>
      <c r="B44">
        <v>21540783</v>
      </c>
      <c r="C44" s="3">
        <v>79905.583333333328</v>
      </c>
      <c r="D44" s="3">
        <v>79908.84375</v>
      </c>
      <c r="E44" s="3"/>
      <c r="F44" s="1" t="s">
        <v>84</v>
      </c>
      <c r="G44" s="1" t="s">
        <v>33</v>
      </c>
      <c r="H44" s="1" t="s">
        <v>86</v>
      </c>
      <c r="I44" s="1" t="s">
        <v>46</v>
      </c>
      <c r="J44" s="1" t="s">
        <v>47</v>
      </c>
      <c r="K44" s="1" t="s">
        <v>30</v>
      </c>
      <c r="L44" s="1" t="s">
        <v>43</v>
      </c>
      <c r="M44" s="1" t="s">
        <v>89</v>
      </c>
      <c r="N44" s="3"/>
      <c r="O44" s="3"/>
      <c r="P44">
        <v>0</v>
      </c>
      <c r="Q44" t="str">
        <f>_xlfn.XLOOKUP(A44, patients!A:A, patients!B:B)</f>
        <v>F</v>
      </c>
      <c r="R44">
        <f>_xlfn.XLOOKUP(A44, patients!A:A, patients!C:C)</f>
        <v>63</v>
      </c>
      <c r="S44" t="str">
        <f t="shared" si="0"/>
        <v>50-70</v>
      </c>
      <c r="T44" s="1" t="str">
        <f>_xlfn.XLOOKUP(B44, diagnoses_icd!B:B, diagnoses_icd!D:D)</f>
        <v>V641</v>
      </c>
    </row>
    <row r="45" spans="1:20" x14ac:dyDescent="0.2">
      <c r="A45">
        <v>10021487</v>
      </c>
      <c r="B45">
        <v>20429160</v>
      </c>
      <c r="C45" s="3">
        <v>79456.302083333328</v>
      </c>
      <c r="D45" s="3">
        <v>79465.523611111115</v>
      </c>
      <c r="E45" s="3"/>
      <c r="F45" s="1" t="s">
        <v>84</v>
      </c>
      <c r="G45" s="1" t="s">
        <v>90</v>
      </c>
      <c r="H45" s="1" t="s">
        <v>86</v>
      </c>
      <c r="I45" s="1" t="s">
        <v>46</v>
      </c>
      <c r="J45" s="1" t="s">
        <v>47</v>
      </c>
      <c r="K45" s="1" t="s">
        <v>30</v>
      </c>
      <c r="L45" s="1" t="s">
        <v>91</v>
      </c>
      <c r="M45" s="1" t="s">
        <v>40</v>
      </c>
      <c r="N45" s="3"/>
      <c r="O45" s="3"/>
      <c r="P45">
        <v>0</v>
      </c>
      <c r="Q45" t="str">
        <f>_xlfn.XLOOKUP(A45, patients!A:A, patients!B:B)</f>
        <v>M</v>
      </c>
      <c r="R45">
        <f>_xlfn.XLOOKUP(A45, patients!A:A, patients!C:C)</f>
        <v>43</v>
      </c>
      <c r="S45" t="str">
        <f t="shared" si="0"/>
        <v>30-50</v>
      </c>
      <c r="T45" s="1" t="str">
        <f>_xlfn.XLOOKUP(B45, diagnoses_icd!B:B, diagnoses_icd!D:D)</f>
        <v>570</v>
      </c>
    </row>
    <row r="46" spans="1:20" x14ac:dyDescent="0.2">
      <c r="A46">
        <v>10013049</v>
      </c>
      <c r="B46">
        <v>22675517</v>
      </c>
      <c r="C46" s="3">
        <v>78334.427083333328</v>
      </c>
      <c r="D46" s="3">
        <v>78338.697916666672</v>
      </c>
      <c r="E46" s="3"/>
      <c r="F46" s="1" t="s">
        <v>84</v>
      </c>
      <c r="G46" s="1" t="s">
        <v>33</v>
      </c>
      <c r="H46" s="1" t="s">
        <v>86</v>
      </c>
      <c r="I46" s="1" t="s">
        <v>34</v>
      </c>
      <c r="J46" s="1" t="s">
        <v>47</v>
      </c>
      <c r="K46" s="1" t="s">
        <v>30</v>
      </c>
      <c r="L46" s="1" t="s">
        <v>36</v>
      </c>
      <c r="M46" s="1" t="s">
        <v>40</v>
      </c>
      <c r="N46" s="3"/>
      <c r="O46" s="3"/>
      <c r="P46">
        <v>0</v>
      </c>
      <c r="Q46" t="str">
        <f>_xlfn.XLOOKUP(A46, patients!A:A, patients!B:B)</f>
        <v>M</v>
      </c>
      <c r="R46">
        <f>_xlfn.XLOOKUP(A46, patients!A:A, patients!C:C)</f>
        <v>52</v>
      </c>
      <c r="S46" t="str">
        <f t="shared" si="0"/>
        <v>50-70</v>
      </c>
      <c r="T46" s="1" t="str">
        <f>_xlfn.XLOOKUP(B46, diagnoses_icd!B:B, diagnoses_icd!D:D)</f>
        <v>V173</v>
      </c>
    </row>
    <row r="47" spans="1:20" x14ac:dyDescent="0.2">
      <c r="A47">
        <v>10035631</v>
      </c>
      <c r="B47">
        <v>20385771</v>
      </c>
      <c r="C47" s="3">
        <v>77771</v>
      </c>
      <c r="D47" s="3">
        <v>77794.683333333334</v>
      </c>
      <c r="E47" s="3"/>
      <c r="F47" s="1" t="s">
        <v>84</v>
      </c>
      <c r="G47" s="1" t="s">
        <v>92</v>
      </c>
      <c r="H47" s="1" t="s">
        <v>86</v>
      </c>
      <c r="I47" s="1" t="s">
        <v>34</v>
      </c>
      <c r="J47" s="1" t="s">
        <v>47</v>
      </c>
      <c r="K47" s="1" t="s">
        <v>30</v>
      </c>
      <c r="L47" s="1" t="s">
        <v>36</v>
      </c>
      <c r="M47" s="1" t="s">
        <v>40</v>
      </c>
      <c r="N47" s="3"/>
      <c r="O47" s="3"/>
      <c r="P47">
        <v>0</v>
      </c>
      <c r="Q47" t="str">
        <f>_xlfn.XLOOKUP(A47, patients!A:A, patients!B:B)</f>
        <v>M</v>
      </c>
      <c r="R47">
        <f>_xlfn.XLOOKUP(A47, patients!A:A, patients!C:C)</f>
        <v>63</v>
      </c>
      <c r="S47" t="str">
        <f t="shared" si="0"/>
        <v>50-70</v>
      </c>
      <c r="T47" s="1" t="str">
        <f>_xlfn.XLOOKUP(B47, diagnoses_icd!B:B, diagnoses_icd!D:D)</f>
        <v>78791</v>
      </c>
    </row>
    <row r="48" spans="1:20" x14ac:dyDescent="0.2">
      <c r="A48">
        <v>10035631</v>
      </c>
      <c r="B48">
        <v>24912093</v>
      </c>
      <c r="C48" s="3">
        <v>77728</v>
      </c>
      <c r="D48" s="3">
        <v>77734.511111111118</v>
      </c>
      <c r="E48" s="3"/>
      <c r="F48" s="1" t="s">
        <v>84</v>
      </c>
      <c r="G48" s="1" t="s">
        <v>92</v>
      </c>
      <c r="H48" s="1" t="s">
        <v>86</v>
      </c>
      <c r="I48" s="1" t="s">
        <v>34</v>
      </c>
      <c r="J48" s="1" t="s">
        <v>47</v>
      </c>
      <c r="K48" s="1" t="s">
        <v>30</v>
      </c>
      <c r="L48" s="1" t="s">
        <v>36</v>
      </c>
      <c r="M48" s="1" t="s">
        <v>44</v>
      </c>
      <c r="N48" s="3"/>
      <c r="O48" s="3"/>
      <c r="P48">
        <v>0</v>
      </c>
      <c r="Q48" t="str">
        <f>_xlfn.XLOOKUP(A48, patients!A:A, patients!B:B)</f>
        <v>M</v>
      </c>
      <c r="R48">
        <f>_xlfn.XLOOKUP(A48, patients!A:A, patients!C:C)</f>
        <v>63</v>
      </c>
      <c r="S48" t="str">
        <f t="shared" si="0"/>
        <v>50-70</v>
      </c>
      <c r="T48" s="1" t="str">
        <f>_xlfn.XLOOKUP(B48, diagnoses_icd!B:B, diagnoses_icd!D:D)</f>
        <v>7905</v>
      </c>
    </row>
    <row r="49" spans="1:20" x14ac:dyDescent="0.2">
      <c r="A49">
        <v>10019003</v>
      </c>
      <c r="B49">
        <v>26226543</v>
      </c>
      <c r="C49" s="3">
        <v>93428.750694444447</v>
      </c>
      <c r="D49" s="3">
        <v>93445.75</v>
      </c>
      <c r="E49" s="3"/>
      <c r="F49" s="1" t="s">
        <v>84</v>
      </c>
      <c r="G49" s="1" t="s">
        <v>93</v>
      </c>
      <c r="H49" s="1" t="s">
        <v>86</v>
      </c>
      <c r="I49" s="1" t="s">
        <v>34</v>
      </c>
      <c r="J49" s="1" t="s">
        <v>47</v>
      </c>
      <c r="K49" s="1" t="s">
        <v>30</v>
      </c>
      <c r="L49" s="1" t="s">
        <v>48</v>
      </c>
      <c r="M49" s="1" t="s">
        <v>40</v>
      </c>
      <c r="N49" s="3"/>
      <c r="O49" s="3"/>
      <c r="P49">
        <v>0</v>
      </c>
      <c r="Q49" t="str">
        <f>_xlfn.XLOOKUP(A49, patients!A:A, patients!B:B)</f>
        <v>F</v>
      </c>
      <c r="R49">
        <f>_xlfn.XLOOKUP(A49, patients!A:A, patients!C:C)</f>
        <v>65</v>
      </c>
      <c r="S49" t="str">
        <f t="shared" si="0"/>
        <v>50-70</v>
      </c>
      <c r="T49" s="1" t="str">
        <f>_xlfn.XLOOKUP(B49, diagnoses_icd!B:B, diagnoses_icd!D:D)</f>
        <v>N179</v>
      </c>
    </row>
    <row r="50" spans="1:20" x14ac:dyDescent="0.2">
      <c r="A50">
        <v>10019003</v>
      </c>
      <c r="B50">
        <v>28003918</v>
      </c>
      <c r="C50" s="3">
        <v>90937.302083333328</v>
      </c>
      <c r="D50" s="3">
        <v>90940.715277777781</v>
      </c>
      <c r="E50" s="3"/>
      <c r="F50" s="1" t="s">
        <v>84</v>
      </c>
      <c r="G50" s="1" t="s">
        <v>94</v>
      </c>
      <c r="H50" s="1" t="s">
        <v>86</v>
      </c>
      <c r="I50" s="1" t="s">
        <v>46</v>
      </c>
      <c r="J50" s="1" t="s">
        <v>39</v>
      </c>
      <c r="K50" s="1" t="s">
        <v>30</v>
      </c>
      <c r="L50" s="1" t="s">
        <v>48</v>
      </c>
      <c r="M50" s="1" t="s">
        <v>40</v>
      </c>
      <c r="N50" s="3"/>
      <c r="O50" s="3"/>
      <c r="P50">
        <v>0</v>
      </c>
      <c r="Q50" t="str">
        <f>_xlfn.XLOOKUP(A50, patients!A:A, patients!B:B)</f>
        <v>F</v>
      </c>
      <c r="R50">
        <f>_xlfn.XLOOKUP(A50, patients!A:A, patients!C:C)</f>
        <v>65</v>
      </c>
      <c r="S50" t="str">
        <f t="shared" si="0"/>
        <v>50-70</v>
      </c>
      <c r="T50" s="1" t="str">
        <f>_xlfn.XLOOKUP(B50, diagnoses_icd!B:B, diagnoses_icd!D:D)</f>
        <v>V103</v>
      </c>
    </row>
    <row r="51" spans="1:20" x14ac:dyDescent="0.2">
      <c r="A51">
        <v>10009035</v>
      </c>
      <c r="B51">
        <v>28324362</v>
      </c>
      <c r="C51" s="3">
        <v>95447.302083333328</v>
      </c>
      <c r="D51" s="3">
        <v>95451.572916666672</v>
      </c>
      <c r="E51" s="3"/>
      <c r="F51" s="1" t="s">
        <v>84</v>
      </c>
      <c r="G51" s="1" t="s">
        <v>33</v>
      </c>
      <c r="H51" s="1" t="s">
        <v>86</v>
      </c>
      <c r="I51" s="1" t="s">
        <v>34</v>
      </c>
      <c r="J51" s="1" t="s">
        <v>47</v>
      </c>
      <c r="K51" s="1" t="s">
        <v>30</v>
      </c>
      <c r="L51" s="1" t="s">
        <v>31</v>
      </c>
      <c r="M51" s="1" t="s">
        <v>40</v>
      </c>
      <c r="N51" s="3"/>
      <c r="O51" s="3"/>
      <c r="P51">
        <v>0</v>
      </c>
      <c r="Q51" t="str">
        <f>_xlfn.XLOOKUP(A51, patients!A:A, patients!B:B)</f>
        <v>M</v>
      </c>
      <c r="R51">
        <f>_xlfn.XLOOKUP(A51, patients!A:A, patients!C:C)</f>
        <v>28</v>
      </c>
      <c r="S51" t="str">
        <f t="shared" si="0"/>
        <v>Under 30</v>
      </c>
      <c r="T51" s="1" t="str">
        <f>_xlfn.XLOOKUP(B51, diagnoses_icd!B:B, diagnoses_icd!D:D)</f>
        <v>4240</v>
      </c>
    </row>
    <row r="52" spans="1:20" x14ac:dyDescent="0.2">
      <c r="A52">
        <v>10040025</v>
      </c>
      <c r="B52">
        <v>25933959</v>
      </c>
      <c r="C52" s="3">
        <v>90579.816666666666</v>
      </c>
      <c r="D52" s="3">
        <v>90590.734722222216</v>
      </c>
      <c r="E52" s="3"/>
      <c r="F52" s="1" t="s">
        <v>84</v>
      </c>
      <c r="G52" s="1" t="s">
        <v>95</v>
      </c>
      <c r="H52" s="1" t="s">
        <v>86</v>
      </c>
      <c r="I52" s="1" t="s">
        <v>28</v>
      </c>
      <c r="J52" s="1" t="s">
        <v>47</v>
      </c>
      <c r="K52" s="1" t="s">
        <v>30</v>
      </c>
      <c r="L52" s="1" t="s">
        <v>91</v>
      </c>
      <c r="M52" s="1" t="s">
        <v>40</v>
      </c>
      <c r="N52" s="3"/>
      <c r="O52" s="3"/>
      <c r="P52">
        <v>0</v>
      </c>
      <c r="Q52" t="str">
        <f>_xlfn.XLOOKUP(A52, patients!A:A, patients!B:B)</f>
        <v>F</v>
      </c>
      <c r="R52">
        <f>_xlfn.XLOOKUP(A52, patients!A:A, patients!C:C)</f>
        <v>64</v>
      </c>
      <c r="S52" t="str">
        <f t="shared" si="0"/>
        <v>50-70</v>
      </c>
      <c r="T52" s="1" t="str">
        <f>_xlfn.XLOOKUP(B52, diagnoses_icd!B:B, diagnoses_icd!D:D)</f>
        <v>I509</v>
      </c>
    </row>
    <row r="53" spans="1:20" x14ac:dyDescent="0.2">
      <c r="A53">
        <v>10014729</v>
      </c>
      <c r="B53">
        <v>23300884</v>
      </c>
      <c r="C53" s="3">
        <v>82259.70694444445</v>
      </c>
      <c r="D53" s="3">
        <v>82268.567361111112</v>
      </c>
      <c r="E53" s="3"/>
      <c r="F53" s="1" t="s">
        <v>96</v>
      </c>
      <c r="G53" s="1" t="s">
        <v>85</v>
      </c>
      <c r="H53" s="1" t="s">
        <v>97</v>
      </c>
      <c r="I53" s="1" t="s">
        <v>34</v>
      </c>
      <c r="J53" s="1" t="s">
        <v>47</v>
      </c>
      <c r="K53" s="1" t="s">
        <v>30</v>
      </c>
      <c r="L53" s="1" t="s">
        <v>31</v>
      </c>
      <c r="M53" s="1" t="s">
        <v>98</v>
      </c>
      <c r="N53" s="3">
        <v>82259.524999999994</v>
      </c>
      <c r="O53" s="3">
        <v>82259.78125</v>
      </c>
      <c r="P53">
        <v>0</v>
      </c>
      <c r="Q53" t="str">
        <f>_xlfn.XLOOKUP(A53, patients!A:A, patients!B:B)</f>
        <v>F</v>
      </c>
      <c r="R53">
        <f>_xlfn.XLOOKUP(A53, patients!A:A, patients!C:C)</f>
        <v>21</v>
      </c>
      <c r="S53" t="str">
        <f t="shared" si="0"/>
        <v>Under 30</v>
      </c>
      <c r="T53" s="1" t="str">
        <f>_xlfn.XLOOKUP(B53, diagnoses_icd!B:B, diagnoses_icd!D:D)</f>
        <v>99832</v>
      </c>
    </row>
    <row r="54" spans="1:20" x14ac:dyDescent="0.2">
      <c r="A54">
        <v>10026255</v>
      </c>
      <c r="B54">
        <v>20437651</v>
      </c>
      <c r="C54" s="3">
        <v>109834.95347222222</v>
      </c>
      <c r="D54" s="3">
        <v>109846.76736111111</v>
      </c>
      <c r="E54" s="3"/>
      <c r="F54" s="1" t="s">
        <v>96</v>
      </c>
      <c r="G54" s="1" t="s">
        <v>38</v>
      </c>
      <c r="H54" s="1" t="s">
        <v>97</v>
      </c>
      <c r="I54" s="1" t="s">
        <v>46</v>
      </c>
      <c r="J54" s="1" t="s">
        <v>47</v>
      </c>
      <c r="K54" s="1" t="s">
        <v>30</v>
      </c>
      <c r="L54" s="1" t="s">
        <v>36</v>
      </c>
      <c r="M54" s="1" t="s">
        <v>40</v>
      </c>
      <c r="N54" s="3">
        <v>109834.77638888889</v>
      </c>
      <c r="O54" s="3">
        <v>109835.03958333333</v>
      </c>
      <c r="P54">
        <v>0</v>
      </c>
      <c r="Q54" t="str">
        <f>_xlfn.XLOOKUP(A54, patients!A:A, patients!B:B)</f>
        <v>M</v>
      </c>
      <c r="R54">
        <f>_xlfn.XLOOKUP(A54, patients!A:A, patients!C:C)</f>
        <v>66</v>
      </c>
      <c r="S54" t="str">
        <f t="shared" si="0"/>
        <v>50-70</v>
      </c>
      <c r="T54" s="1" t="str">
        <f>_xlfn.XLOOKUP(B54, diagnoses_icd!B:B, diagnoses_icd!D:D)</f>
        <v>486</v>
      </c>
    </row>
    <row r="55" spans="1:20" x14ac:dyDescent="0.2">
      <c r="A55">
        <v>10026255</v>
      </c>
      <c r="B55">
        <v>22059910</v>
      </c>
      <c r="C55" s="3">
        <v>110127.76041666667</v>
      </c>
      <c r="D55" s="3">
        <v>110133.97708333333</v>
      </c>
      <c r="E55" s="3">
        <v>110133.97708333333</v>
      </c>
      <c r="F55" s="1" t="s">
        <v>96</v>
      </c>
      <c r="G55" s="1" t="s">
        <v>82</v>
      </c>
      <c r="H55" s="1" t="s">
        <v>97</v>
      </c>
      <c r="I55" s="1" t="s">
        <v>42</v>
      </c>
      <c r="J55" s="1" t="s">
        <v>47</v>
      </c>
      <c r="K55" s="1" t="s">
        <v>30</v>
      </c>
      <c r="L55" s="1" t="s">
        <v>36</v>
      </c>
      <c r="M55" s="1" t="s">
        <v>40</v>
      </c>
      <c r="N55" s="3">
        <v>110127.52152777778</v>
      </c>
      <c r="O55" s="3">
        <v>110127.81944444444</v>
      </c>
      <c r="P55">
        <v>1</v>
      </c>
      <c r="Q55" t="str">
        <f>_xlfn.XLOOKUP(A55, patients!A:A, patients!B:B)</f>
        <v>M</v>
      </c>
      <c r="R55">
        <f>_xlfn.XLOOKUP(A55, patients!A:A, patients!C:C)</f>
        <v>66</v>
      </c>
      <c r="S55" t="str">
        <f t="shared" si="0"/>
        <v>50-70</v>
      </c>
      <c r="T55" s="1" t="str">
        <f>_xlfn.XLOOKUP(B55, diagnoses_icd!B:B, diagnoses_icd!D:D)</f>
        <v>2930</v>
      </c>
    </row>
    <row r="56" spans="1:20" x14ac:dyDescent="0.2">
      <c r="A56">
        <v>10007058</v>
      </c>
      <c r="B56">
        <v>22954658</v>
      </c>
      <c r="C56" s="3">
        <v>97832.795138888891</v>
      </c>
      <c r="D56" s="3">
        <v>97836.599305555559</v>
      </c>
      <c r="E56" s="3"/>
      <c r="F56" s="1" t="s">
        <v>96</v>
      </c>
      <c r="G56" s="1" t="s">
        <v>85</v>
      </c>
      <c r="H56" s="1" t="s">
        <v>97</v>
      </c>
      <c r="I56" s="1" t="s">
        <v>46</v>
      </c>
      <c r="J56" s="1" t="s">
        <v>47</v>
      </c>
      <c r="K56" s="1" t="s">
        <v>30</v>
      </c>
      <c r="L56" s="1" t="s">
        <v>36</v>
      </c>
      <c r="M56" s="1" t="s">
        <v>40</v>
      </c>
      <c r="N56" s="3">
        <v>97832.74791666666</v>
      </c>
      <c r="O56" s="3">
        <v>97832.848611111112</v>
      </c>
      <c r="P56">
        <v>0</v>
      </c>
      <c r="Q56" t="str">
        <f>_xlfn.XLOOKUP(A56, patients!A:A, patients!B:B)</f>
        <v>M</v>
      </c>
      <c r="R56">
        <f>_xlfn.XLOOKUP(A56, patients!A:A, patients!C:C)</f>
        <v>48</v>
      </c>
      <c r="S56" t="str">
        <f t="shared" si="0"/>
        <v>30-50</v>
      </c>
      <c r="T56" s="1" t="str">
        <f>_xlfn.XLOOKUP(B56, diagnoses_icd!B:B, diagnoses_icd!D:D)</f>
        <v>Z23</v>
      </c>
    </row>
    <row r="57" spans="1:20" x14ac:dyDescent="0.2">
      <c r="A57">
        <v>10018845</v>
      </c>
      <c r="B57">
        <v>21101111</v>
      </c>
      <c r="C57" s="3">
        <v>104012.10277777778</v>
      </c>
      <c r="D57" s="3">
        <v>104015.70833333333</v>
      </c>
      <c r="E57" s="3"/>
      <c r="F57" s="1" t="s">
        <v>96</v>
      </c>
      <c r="G57" s="1" t="s">
        <v>99</v>
      </c>
      <c r="H57" s="1" t="s">
        <v>97</v>
      </c>
      <c r="I57" s="1" t="s">
        <v>81</v>
      </c>
      <c r="J57" s="1" t="s">
        <v>47</v>
      </c>
      <c r="K57" s="1" t="s">
        <v>30</v>
      </c>
      <c r="L57" s="1" t="s">
        <v>36</v>
      </c>
      <c r="M57" s="1" t="s">
        <v>40</v>
      </c>
      <c r="N57" s="3">
        <v>104011.94097222222</v>
      </c>
      <c r="O57" s="3">
        <v>104012.17291666666</v>
      </c>
      <c r="P57">
        <v>0</v>
      </c>
      <c r="Q57" t="str">
        <f>_xlfn.XLOOKUP(A57, patients!A:A, patients!B:B)</f>
        <v>M</v>
      </c>
      <c r="R57">
        <f>_xlfn.XLOOKUP(A57, patients!A:A, patients!C:C)</f>
        <v>91</v>
      </c>
      <c r="S57" t="str">
        <f t="shared" si="0"/>
        <v>70+</v>
      </c>
      <c r="T57" s="1" t="str">
        <f>_xlfn.XLOOKUP(B57, diagnoses_icd!B:B, diagnoses_icd!D:D)</f>
        <v>5855</v>
      </c>
    </row>
    <row r="58" spans="1:20" x14ac:dyDescent="0.2">
      <c r="A58">
        <v>10020640</v>
      </c>
      <c r="B58">
        <v>27984218</v>
      </c>
      <c r="C58" s="3">
        <v>92452.015277777784</v>
      </c>
      <c r="D58" s="3">
        <v>92459.577777777784</v>
      </c>
      <c r="E58" s="3"/>
      <c r="F58" s="1" t="s">
        <v>96</v>
      </c>
      <c r="G58" s="1" t="s">
        <v>58</v>
      </c>
      <c r="H58" s="1" t="s">
        <v>97</v>
      </c>
      <c r="I58" s="1" t="s">
        <v>28</v>
      </c>
      <c r="J58" s="1" t="s">
        <v>47</v>
      </c>
      <c r="K58" s="1" t="s">
        <v>30</v>
      </c>
      <c r="L58" s="1" t="s">
        <v>48</v>
      </c>
      <c r="M58" s="1" t="s">
        <v>40</v>
      </c>
      <c r="N58" s="3">
        <v>92451.915972222225</v>
      </c>
      <c r="O58" s="3">
        <v>92452.068055555559</v>
      </c>
      <c r="P58">
        <v>0</v>
      </c>
      <c r="Q58" t="str">
        <f>_xlfn.XLOOKUP(A58, patients!A:A, patients!B:B)</f>
        <v>F</v>
      </c>
      <c r="R58">
        <f>_xlfn.XLOOKUP(A58, patients!A:A, patients!C:C)</f>
        <v>91</v>
      </c>
      <c r="S58" t="str">
        <f t="shared" si="0"/>
        <v>70+</v>
      </c>
      <c r="T58" s="1" t="str">
        <f>_xlfn.XLOOKUP(B58, diagnoses_icd!B:B, diagnoses_icd!D:D)</f>
        <v>34831</v>
      </c>
    </row>
    <row r="59" spans="1:20" x14ac:dyDescent="0.2">
      <c r="A59">
        <v>10018081</v>
      </c>
      <c r="B59">
        <v>25973915</v>
      </c>
      <c r="C59" s="3">
        <v>85717.664583333331</v>
      </c>
      <c r="D59" s="3">
        <v>85729.659722222219</v>
      </c>
      <c r="E59" s="3"/>
      <c r="F59" s="1" t="s">
        <v>96</v>
      </c>
      <c r="G59" s="1" t="s">
        <v>100</v>
      </c>
      <c r="H59" s="1" t="s">
        <v>97</v>
      </c>
      <c r="I59" s="1" t="s">
        <v>73</v>
      </c>
      <c r="J59" s="1" t="s">
        <v>39</v>
      </c>
      <c r="K59" s="1" t="s">
        <v>30</v>
      </c>
      <c r="L59" s="1" t="s">
        <v>36</v>
      </c>
      <c r="M59" s="1" t="s">
        <v>40</v>
      </c>
      <c r="N59" s="3">
        <v>85716.676388888882</v>
      </c>
      <c r="O59" s="3">
        <v>85717.700694444444</v>
      </c>
      <c r="P59">
        <v>0</v>
      </c>
      <c r="Q59" t="str">
        <f>_xlfn.XLOOKUP(A59, patients!A:A, patients!B:B)</f>
        <v>M</v>
      </c>
      <c r="R59">
        <f>_xlfn.XLOOKUP(A59, patients!A:A, patients!C:C)</f>
        <v>79</v>
      </c>
      <c r="S59" t="str">
        <f t="shared" si="0"/>
        <v>70+</v>
      </c>
      <c r="T59" s="1" t="str">
        <f>_xlfn.XLOOKUP(B59, diagnoses_icd!B:B, diagnoses_icd!D:D)</f>
        <v>2760</v>
      </c>
    </row>
    <row r="60" spans="1:20" x14ac:dyDescent="0.2">
      <c r="A60">
        <v>10018081</v>
      </c>
      <c r="B60">
        <v>21027282</v>
      </c>
      <c r="C60" s="3">
        <v>85455.70694444445</v>
      </c>
      <c r="D60" s="3">
        <v>85480.458333333328</v>
      </c>
      <c r="E60" s="3"/>
      <c r="F60" s="1" t="s">
        <v>96</v>
      </c>
      <c r="G60" s="1" t="s">
        <v>101</v>
      </c>
      <c r="H60" s="1" t="s">
        <v>97</v>
      </c>
      <c r="I60" s="1" t="s">
        <v>28</v>
      </c>
      <c r="J60" s="1" t="s">
        <v>39</v>
      </c>
      <c r="K60" s="1" t="s">
        <v>30</v>
      </c>
      <c r="L60" s="1" t="s">
        <v>36</v>
      </c>
      <c r="M60" s="1" t="s">
        <v>40</v>
      </c>
      <c r="N60" s="3">
        <v>85455.506250000006</v>
      </c>
      <c r="O60" s="3">
        <v>85455.715277777781</v>
      </c>
      <c r="P60">
        <v>0</v>
      </c>
      <c r="Q60" t="str">
        <f>_xlfn.XLOOKUP(A60, patients!A:A, patients!B:B)</f>
        <v>M</v>
      </c>
      <c r="R60">
        <f>_xlfn.XLOOKUP(A60, patients!A:A, patients!C:C)</f>
        <v>79</v>
      </c>
      <c r="S60" t="str">
        <f t="shared" si="0"/>
        <v>70+</v>
      </c>
      <c r="T60" s="1" t="str">
        <f>_xlfn.XLOOKUP(B60, diagnoses_icd!B:B, diagnoses_icd!D:D)</f>
        <v>5845</v>
      </c>
    </row>
    <row r="61" spans="1:20" x14ac:dyDescent="0.2">
      <c r="A61">
        <v>10021666</v>
      </c>
      <c r="B61">
        <v>22756440</v>
      </c>
      <c r="C61" s="3">
        <v>99419.990972222222</v>
      </c>
      <c r="D61" s="3">
        <v>99430.652777777781</v>
      </c>
      <c r="E61" s="3"/>
      <c r="F61" s="1" t="s">
        <v>96</v>
      </c>
      <c r="G61" s="1" t="s">
        <v>102</v>
      </c>
      <c r="H61" s="1" t="s">
        <v>97</v>
      </c>
      <c r="I61" s="1" t="s">
        <v>73</v>
      </c>
      <c r="J61" s="1" t="s">
        <v>39</v>
      </c>
      <c r="K61" s="1" t="s">
        <v>30</v>
      </c>
      <c r="L61" s="1" t="s">
        <v>36</v>
      </c>
      <c r="M61" s="1" t="s">
        <v>40</v>
      </c>
      <c r="N61" s="3">
        <v>99419.869444444441</v>
      </c>
      <c r="O61" s="3">
        <v>99420.073611111118</v>
      </c>
      <c r="P61">
        <v>0</v>
      </c>
      <c r="Q61" t="str">
        <f>_xlfn.XLOOKUP(A61, patients!A:A, patients!B:B)</f>
        <v>M</v>
      </c>
      <c r="R61">
        <f>_xlfn.XLOOKUP(A61, patients!A:A, patients!C:C)</f>
        <v>87</v>
      </c>
      <c r="S61" t="str">
        <f t="shared" si="0"/>
        <v>70+</v>
      </c>
      <c r="T61" s="1" t="str">
        <f>_xlfn.XLOOKUP(B61, diagnoses_icd!B:B, diagnoses_icd!D:D)</f>
        <v>V4986</v>
      </c>
    </row>
    <row r="62" spans="1:20" x14ac:dyDescent="0.2">
      <c r="A62">
        <v>10015272</v>
      </c>
      <c r="B62">
        <v>27993466</v>
      </c>
      <c r="C62" s="3">
        <v>86727.774999999994</v>
      </c>
      <c r="D62" s="3">
        <v>86733.65625</v>
      </c>
      <c r="E62" s="3"/>
      <c r="F62" s="1" t="s">
        <v>96</v>
      </c>
      <c r="G62" s="1" t="s">
        <v>52</v>
      </c>
      <c r="H62" s="1" t="s">
        <v>97</v>
      </c>
      <c r="I62" s="1" t="s">
        <v>34</v>
      </c>
      <c r="J62" s="1" t="s">
        <v>39</v>
      </c>
      <c r="K62" s="1" t="s">
        <v>30</v>
      </c>
      <c r="L62" s="1" t="s">
        <v>43</v>
      </c>
      <c r="M62" s="1" t="s">
        <v>40</v>
      </c>
      <c r="N62" s="3">
        <v>86727.704166666663</v>
      </c>
      <c r="O62" s="3">
        <v>86727.859027777784</v>
      </c>
      <c r="P62">
        <v>0</v>
      </c>
      <c r="Q62" t="str">
        <f>_xlfn.XLOOKUP(A62, patients!A:A, patients!B:B)</f>
        <v>F</v>
      </c>
      <c r="R62">
        <f>_xlfn.XLOOKUP(A62, patients!A:A, patients!C:C)</f>
        <v>78</v>
      </c>
      <c r="S62" t="str">
        <f t="shared" si="0"/>
        <v>70+</v>
      </c>
      <c r="T62" s="1" t="str">
        <f>_xlfn.XLOOKUP(B62, diagnoses_icd!B:B, diagnoses_icd!D:D)</f>
        <v>I82412</v>
      </c>
    </row>
    <row r="63" spans="1:20" x14ac:dyDescent="0.2">
      <c r="A63">
        <v>10016810</v>
      </c>
      <c r="B63">
        <v>20973395</v>
      </c>
      <c r="C63" s="3">
        <v>104263.06319444445</v>
      </c>
      <c r="D63" s="3">
        <v>104268.66319444444</v>
      </c>
      <c r="E63" s="3"/>
      <c r="F63" s="1" t="s">
        <v>96</v>
      </c>
      <c r="G63" s="1" t="s">
        <v>103</v>
      </c>
      <c r="H63" s="1" t="s">
        <v>97</v>
      </c>
      <c r="I63" s="1" t="s">
        <v>46</v>
      </c>
      <c r="J63" s="1" t="s">
        <v>47</v>
      </c>
      <c r="K63" s="1" t="s">
        <v>30</v>
      </c>
      <c r="L63" s="1" t="s">
        <v>43</v>
      </c>
      <c r="M63" s="1" t="s">
        <v>44</v>
      </c>
      <c r="N63" s="3">
        <v>104262.96388888889</v>
      </c>
      <c r="O63" s="3">
        <v>104263.09444444445</v>
      </c>
      <c r="P63">
        <v>0</v>
      </c>
      <c r="Q63" t="str">
        <f>_xlfn.XLOOKUP(A63, patients!A:A, patients!B:B)</f>
        <v>F</v>
      </c>
      <c r="R63">
        <f>_xlfn.XLOOKUP(A63, patients!A:A, patients!C:C)</f>
        <v>66</v>
      </c>
      <c r="S63" t="str">
        <f t="shared" si="0"/>
        <v>50-70</v>
      </c>
      <c r="T63" s="1" t="str">
        <f>_xlfn.XLOOKUP(B63, diagnoses_icd!B:B, diagnoses_icd!D:D)</f>
        <v>4589</v>
      </c>
    </row>
    <row r="64" spans="1:20" x14ac:dyDescent="0.2">
      <c r="A64">
        <v>10021938</v>
      </c>
      <c r="B64">
        <v>23112364</v>
      </c>
      <c r="C64" s="3">
        <v>102921.075</v>
      </c>
      <c r="D64" s="3">
        <v>102922.73611111111</v>
      </c>
      <c r="E64" s="3"/>
      <c r="F64" s="1" t="s">
        <v>96</v>
      </c>
      <c r="G64" s="1" t="s">
        <v>52</v>
      </c>
      <c r="H64" s="1" t="s">
        <v>97</v>
      </c>
      <c r="I64" s="1" t="s">
        <v>46</v>
      </c>
      <c r="J64" s="1" t="s">
        <v>39</v>
      </c>
      <c r="K64" s="1" t="s">
        <v>30</v>
      </c>
      <c r="L64" s="1" t="s">
        <v>31</v>
      </c>
      <c r="M64" s="1" t="s">
        <v>40</v>
      </c>
      <c r="N64" s="3">
        <v>102920.84513888889</v>
      </c>
      <c r="O64" s="3">
        <v>102921.11944444444</v>
      </c>
      <c r="P64">
        <v>0</v>
      </c>
      <c r="Q64" t="str">
        <f>_xlfn.XLOOKUP(A64, patients!A:A, patients!B:B)</f>
        <v>M</v>
      </c>
      <c r="R64">
        <f>_xlfn.XLOOKUP(A64, patients!A:A, patients!C:C)</f>
        <v>65</v>
      </c>
      <c r="S64" t="str">
        <f t="shared" si="0"/>
        <v>50-70</v>
      </c>
      <c r="T64" s="1" t="str">
        <f>_xlfn.XLOOKUP(B64, diagnoses_icd!B:B, diagnoses_icd!D:D)</f>
        <v>5856</v>
      </c>
    </row>
    <row r="65" spans="1:20" x14ac:dyDescent="0.2">
      <c r="A65">
        <v>10021938</v>
      </c>
      <c r="B65">
        <v>27154822</v>
      </c>
      <c r="C65" s="3">
        <v>102933.44722222222</v>
      </c>
      <c r="D65" s="3">
        <v>102935.64583333333</v>
      </c>
      <c r="E65" s="3"/>
      <c r="F65" s="1" t="s">
        <v>96</v>
      </c>
      <c r="G65" s="1" t="s">
        <v>104</v>
      </c>
      <c r="H65" s="1" t="s">
        <v>97</v>
      </c>
      <c r="I65" s="1" t="s">
        <v>46</v>
      </c>
      <c r="J65" s="1" t="s">
        <v>39</v>
      </c>
      <c r="K65" s="1" t="s">
        <v>30</v>
      </c>
      <c r="L65" s="1" t="s">
        <v>31</v>
      </c>
      <c r="M65" s="1" t="s">
        <v>40</v>
      </c>
      <c r="N65" s="3">
        <v>102933.39097222222</v>
      </c>
      <c r="O65" s="3">
        <v>102933.48263888889</v>
      </c>
      <c r="P65">
        <v>0</v>
      </c>
      <c r="Q65" t="str">
        <f>_xlfn.XLOOKUP(A65, patients!A:A, patients!B:B)</f>
        <v>M</v>
      </c>
      <c r="R65">
        <f>_xlfn.XLOOKUP(A65, patients!A:A, patients!C:C)</f>
        <v>65</v>
      </c>
      <c r="S65" t="str">
        <f t="shared" si="0"/>
        <v>50-70</v>
      </c>
      <c r="T65" s="1" t="str">
        <f>_xlfn.XLOOKUP(B65, diagnoses_icd!B:B, diagnoses_icd!D:D)</f>
        <v>78900</v>
      </c>
    </row>
    <row r="66" spans="1:20" x14ac:dyDescent="0.2">
      <c r="A66">
        <v>10001725</v>
      </c>
      <c r="B66">
        <v>25563031</v>
      </c>
      <c r="C66" s="3">
        <v>76803.630555555559</v>
      </c>
      <c r="D66" s="3">
        <v>76806.625</v>
      </c>
      <c r="E66" s="3"/>
      <c r="F66" s="1" t="s">
        <v>96</v>
      </c>
      <c r="G66" s="1" t="s">
        <v>105</v>
      </c>
      <c r="H66" s="1" t="s">
        <v>106</v>
      </c>
      <c r="I66" s="1" t="s">
        <v>46</v>
      </c>
      <c r="J66" s="1" t="s">
        <v>47</v>
      </c>
      <c r="K66" s="1" t="s">
        <v>30</v>
      </c>
      <c r="L66" s="1" t="s">
        <v>36</v>
      </c>
      <c r="M66" s="1" t="s">
        <v>40</v>
      </c>
      <c r="N66" s="3"/>
      <c r="O66" s="3"/>
      <c r="P66">
        <v>0</v>
      </c>
      <c r="Q66" t="str">
        <f>_xlfn.XLOOKUP(A66, patients!A:A, patients!B:B)</f>
        <v>F</v>
      </c>
      <c r="R66">
        <f>_xlfn.XLOOKUP(A66, patients!A:A, patients!C:C)</f>
        <v>46</v>
      </c>
      <c r="S66" t="str">
        <f t="shared" ref="S66:S129" si="1">IF(R66&lt;30,"Under 30",
 IF(R66&lt;=50,"30-50",
 IF(R66&lt;=70,"50-70","70+")))</f>
        <v>30-50</v>
      </c>
      <c r="T66" s="1" t="str">
        <f>_xlfn.XLOOKUP(B66, diagnoses_icd!B:B, diagnoses_icd!D:D)</f>
        <v>49390</v>
      </c>
    </row>
    <row r="67" spans="1:20" x14ac:dyDescent="0.2">
      <c r="A67">
        <v>10001217</v>
      </c>
      <c r="B67">
        <v>24597018</v>
      </c>
      <c r="C67" s="3">
        <v>94191.955555555556</v>
      </c>
      <c r="D67" s="3">
        <v>94198.75</v>
      </c>
      <c r="E67" s="3"/>
      <c r="F67" s="1" t="s">
        <v>96</v>
      </c>
      <c r="G67" s="1" t="s">
        <v>107</v>
      </c>
      <c r="H67" s="1" t="s">
        <v>97</v>
      </c>
      <c r="I67" s="1" t="s">
        <v>34</v>
      </c>
      <c r="J67" s="1" t="s">
        <v>47</v>
      </c>
      <c r="K67" s="1" t="s">
        <v>35</v>
      </c>
      <c r="L67" s="1" t="s">
        <v>36</v>
      </c>
      <c r="M67" s="1" t="s">
        <v>40</v>
      </c>
      <c r="N67" s="3">
        <v>94191.734722222216</v>
      </c>
      <c r="O67" s="3">
        <v>94192.058333333334</v>
      </c>
      <c r="P67">
        <v>0</v>
      </c>
      <c r="Q67" t="str">
        <f>_xlfn.XLOOKUP(A67, patients!A:A, patients!B:B)</f>
        <v>F</v>
      </c>
      <c r="R67">
        <f>_xlfn.XLOOKUP(A67, patients!A:A, patients!C:C)</f>
        <v>55</v>
      </c>
      <c r="S67" t="str">
        <f t="shared" si="1"/>
        <v>50-70</v>
      </c>
      <c r="T67" s="1" t="str">
        <f>_xlfn.XLOOKUP(B67, diagnoses_icd!B:B, diagnoses_icd!D:D)</f>
        <v>V168</v>
      </c>
    </row>
    <row r="68" spans="1:20" x14ac:dyDescent="0.2">
      <c r="A68">
        <v>10023239</v>
      </c>
      <c r="B68">
        <v>29295881</v>
      </c>
      <c r="C68" s="3">
        <v>86734.732638888891</v>
      </c>
      <c r="D68" s="3">
        <v>86737.62291666666</v>
      </c>
      <c r="E68" s="3"/>
      <c r="F68" s="1" t="s">
        <v>96</v>
      </c>
      <c r="G68" s="1" t="s">
        <v>60</v>
      </c>
      <c r="H68" s="1" t="s">
        <v>97</v>
      </c>
      <c r="I68" s="1" t="s">
        <v>46</v>
      </c>
      <c r="J68" s="1" t="s">
        <v>47</v>
      </c>
      <c r="K68" s="1" t="s">
        <v>30</v>
      </c>
      <c r="L68" s="1" t="s">
        <v>31</v>
      </c>
      <c r="M68" s="1" t="s">
        <v>40</v>
      </c>
      <c r="N68" s="3">
        <v>86734.628472222219</v>
      </c>
      <c r="O68" s="3">
        <v>86734.797916666663</v>
      </c>
      <c r="P68">
        <v>0</v>
      </c>
      <c r="Q68" t="str">
        <f>_xlfn.XLOOKUP(A68, patients!A:A, patients!B:B)</f>
        <v>F</v>
      </c>
      <c r="R68">
        <f>_xlfn.XLOOKUP(A68, patients!A:A, patients!C:C)</f>
        <v>29</v>
      </c>
      <c r="S68" t="str">
        <f t="shared" si="1"/>
        <v>Under 30</v>
      </c>
      <c r="T68" s="1" t="str">
        <f>_xlfn.XLOOKUP(B68, diagnoses_icd!B:B, diagnoses_icd!D:D)</f>
        <v>V5867</v>
      </c>
    </row>
    <row r="69" spans="1:20" x14ac:dyDescent="0.2">
      <c r="A69">
        <v>10023239</v>
      </c>
      <c r="B69">
        <v>21759936</v>
      </c>
      <c r="C69" s="3">
        <v>87936.379166666666</v>
      </c>
      <c r="D69" s="3">
        <v>87941.64444444445</v>
      </c>
      <c r="E69" s="3"/>
      <c r="F69" s="1" t="s">
        <v>96</v>
      </c>
      <c r="G69" s="1" t="s">
        <v>64</v>
      </c>
      <c r="H69" s="1" t="s">
        <v>27</v>
      </c>
      <c r="I69" s="1" t="s">
        <v>46</v>
      </c>
      <c r="J69" s="1" t="s">
        <v>47</v>
      </c>
      <c r="K69" s="1" t="s">
        <v>30</v>
      </c>
      <c r="L69" s="1" t="s">
        <v>36</v>
      </c>
      <c r="M69" s="1" t="s">
        <v>40</v>
      </c>
      <c r="N69" s="3">
        <v>87936.263888888891</v>
      </c>
      <c r="O69" s="3">
        <v>87936.461111111115</v>
      </c>
      <c r="P69">
        <v>0</v>
      </c>
      <c r="Q69" t="str">
        <f>_xlfn.XLOOKUP(A69, patients!A:A, patients!B:B)</f>
        <v>F</v>
      </c>
      <c r="R69">
        <f>_xlfn.XLOOKUP(A69, patients!A:A, patients!C:C)</f>
        <v>29</v>
      </c>
      <c r="S69" t="str">
        <f t="shared" si="1"/>
        <v>Under 30</v>
      </c>
      <c r="T69" s="1" t="str">
        <f>_xlfn.XLOOKUP(B69, diagnoses_icd!B:B, diagnoses_icd!D:D)</f>
        <v>E039</v>
      </c>
    </row>
    <row r="70" spans="1:20" x14ac:dyDescent="0.2">
      <c r="A70">
        <v>10020944</v>
      </c>
      <c r="B70">
        <v>29974575</v>
      </c>
      <c r="C70" s="3">
        <v>84430.648611111115</v>
      </c>
      <c r="D70" s="3">
        <v>84444.709027777775</v>
      </c>
      <c r="E70" s="3"/>
      <c r="F70" s="1" t="s">
        <v>96</v>
      </c>
      <c r="G70" s="1" t="s">
        <v>108</v>
      </c>
      <c r="H70" s="1" t="s">
        <v>97</v>
      </c>
      <c r="I70" s="1" t="s">
        <v>28</v>
      </c>
      <c r="J70" s="1" t="s">
        <v>39</v>
      </c>
      <c r="K70" s="1" t="s">
        <v>30</v>
      </c>
      <c r="L70" s="1" t="s">
        <v>43</v>
      </c>
      <c r="M70" s="1" t="s">
        <v>44</v>
      </c>
      <c r="N70" s="3">
        <v>84430.552777777775</v>
      </c>
      <c r="O70" s="3">
        <v>84430.694444444438</v>
      </c>
      <c r="P70">
        <v>0</v>
      </c>
      <c r="Q70" t="str">
        <f>_xlfn.XLOOKUP(A70, patients!A:A, patients!B:B)</f>
        <v>M</v>
      </c>
      <c r="R70">
        <f>_xlfn.XLOOKUP(A70, patients!A:A, patients!C:C)</f>
        <v>72</v>
      </c>
      <c r="S70" t="str">
        <f t="shared" si="1"/>
        <v>70+</v>
      </c>
      <c r="T70" s="1" t="str">
        <f>_xlfn.XLOOKUP(B70, diagnoses_icd!B:B, diagnoses_icd!D:D)</f>
        <v>3575</v>
      </c>
    </row>
    <row r="71" spans="1:20" x14ac:dyDescent="0.2">
      <c r="A71">
        <v>10027602</v>
      </c>
      <c r="B71">
        <v>28166872</v>
      </c>
      <c r="C71" s="3">
        <v>110242.50347222222</v>
      </c>
      <c r="D71" s="3">
        <v>110263.61458333333</v>
      </c>
      <c r="E71" s="3"/>
      <c r="F71" s="1" t="s">
        <v>96</v>
      </c>
      <c r="G71" s="1" t="s">
        <v>109</v>
      </c>
      <c r="H71" s="1" t="s">
        <v>97</v>
      </c>
      <c r="I71" s="1" t="s">
        <v>81</v>
      </c>
      <c r="J71" s="1" t="s">
        <v>47</v>
      </c>
      <c r="K71" s="1" t="s">
        <v>30</v>
      </c>
      <c r="L71" s="1" t="s">
        <v>31</v>
      </c>
      <c r="M71" s="1" t="s">
        <v>40</v>
      </c>
      <c r="N71" s="3">
        <v>110242.45</v>
      </c>
      <c r="O71" s="3">
        <v>110242.51736111111</v>
      </c>
      <c r="P71">
        <v>0</v>
      </c>
      <c r="Q71" t="str">
        <f>_xlfn.XLOOKUP(A71, patients!A:A, patients!B:B)</f>
        <v>F</v>
      </c>
      <c r="R71">
        <f>_xlfn.XLOOKUP(A71, patients!A:A, patients!C:C)</f>
        <v>71</v>
      </c>
      <c r="S71" t="str">
        <f t="shared" si="1"/>
        <v>70+</v>
      </c>
      <c r="T71" s="1" t="str">
        <f>_xlfn.XLOOKUP(B71, diagnoses_icd!B:B, diagnoses_icd!D:D)</f>
        <v>5990</v>
      </c>
    </row>
    <row r="72" spans="1:20" x14ac:dyDescent="0.2">
      <c r="A72">
        <v>10032725</v>
      </c>
      <c r="B72">
        <v>25177949</v>
      </c>
      <c r="C72" s="3">
        <v>88803.597222222219</v>
      </c>
      <c r="D72" s="3">
        <v>88830.71875</v>
      </c>
      <c r="E72" s="3"/>
      <c r="F72" s="1" t="s">
        <v>96</v>
      </c>
      <c r="G72" s="1" t="s">
        <v>110</v>
      </c>
      <c r="H72" s="1" t="s">
        <v>97</v>
      </c>
      <c r="I72" s="1" t="s">
        <v>73</v>
      </c>
      <c r="J72" s="1" t="s">
        <v>47</v>
      </c>
      <c r="K72" s="1" t="s">
        <v>30</v>
      </c>
      <c r="L72" s="1" t="s">
        <v>31</v>
      </c>
      <c r="M72" s="1" t="s">
        <v>62</v>
      </c>
      <c r="N72" s="3">
        <v>88803.304861111115</v>
      </c>
      <c r="O72" s="3">
        <v>88803.637499999997</v>
      </c>
      <c r="P72">
        <v>0</v>
      </c>
      <c r="Q72" t="str">
        <f>_xlfn.XLOOKUP(A72, patients!A:A, patients!B:B)</f>
        <v>F</v>
      </c>
      <c r="R72">
        <f>_xlfn.XLOOKUP(A72, patients!A:A, patients!C:C)</f>
        <v>38</v>
      </c>
      <c r="S72" t="str">
        <f t="shared" si="1"/>
        <v>30-50</v>
      </c>
      <c r="T72" s="1" t="str">
        <f>_xlfn.XLOOKUP(B72, diagnoses_icd!B:B, diagnoses_icd!D:D)</f>
        <v>1987</v>
      </c>
    </row>
    <row r="73" spans="1:20" x14ac:dyDescent="0.2">
      <c r="A73">
        <v>10032725</v>
      </c>
      <c r="B73">
        <v>20611640</v>
      </c>
      <c r="C73" s="3">
        <v>88836.207638888882</v>
      </c>
      <c r="D73" s="3">
        <v>88839.541666666672</v>
      </c>
      <c r="E73" s="3"/>
      <c r="F73" s="1" t="s">
        <v>96</v>
      </c>
      <c r="G73" s="1" t="s">
        <v>58</v>
      </c>
      <c r="H73" s="1" t="s">
        <v>97</v>
      </c>
      <c r="I73" s="1" t="s">
        <v>111</v>
      </c>
      <c r="J73" s="1" t="s">
        <v>47</v>
      </c>
      <c r="K73" s="1" t="s">
        <v>30</v>
      </c>
      <c r="L73" s="1" t="s">
        <v>31</v>
      </c>
      <c r="M73" s="1" t="s">
        <v>62</v>
      </c>
      <c r="N73" s="3">
        <v>88836.054861111115</v>
      </c>
      <c r="O73" s="3">
        <v>88836.27916666666</v>
      </c>
      <c r="P73">
        <v>0</v>
      </c>
      <c r="Q73" t="str">
        <f>_xlfn.XLOOKUP(A73, patients!A:A, patients!B:B)</f>
        <v>F</v>
      </c>
      <c r="R73">
        <f>_xlfn.XLOOKUP(A73, patients!A:A, patients!C:C)</f>
        <v>38</v>
      </c>
      <c r="S73" t="str">
        <f t="shared" si="1"/>
        <v>30-50</v>
      </c>
      <c r="T73" s="1" t="str">
        <f>_xlfn.XLOOKUP(B73, diagnoses_icd!B:B, diagnoses_icd!D:D)</f>
        <v>3485</v>
      </c>
    </row>
    <row r="74" spans="1:20" x14ac:dyDescent="0.2">
      <c r="A74">
        <v>10005348</v>
      </c>
      <c r="B74">
        <v>25239799</v>
      </c>
      <c r="C74" s="3">
        <v>84306.710416666669</v>
      </c>
      <c r="D74" s="3">
        <v>84313.666666666672</v>
      </c>
      <c r="E74" s="3"/>
      <c r="F74" s="1" t="s">
        <v>96</v>
      </c>
      <c r="G74" s="1" t="s">
        <v>65</v>
      </c>
      <c r="H74" s="1" t="s">
        <v>112</v>
      </c>
      <c r="I74" s="1" t="s">
        <v>28</v>
      </c>
      <c r="J74" s="1" t="s">
        <v>47</v>
      </c>
      <c r="K74" s="1" t="s">
        <v>30</v>
      </c>
      <c r="L74" s="1" t="s">
        <v>36</v>
      </c>
      <c r="M74" s="1" t="s">
        <v>40</v>
      </c>
      <c r="N74" s="3"/>
      <c r="O74" s="3"/>
      <c r="P74">
        <v>0</v>
      </c>
      <c r="Q74" t="str">
        <f>_xlfn.XLOOKUP(A74, patients!A:A, patients!B:B)</f>
        <v>M</v>
      </c>
      <c r="R74">
        <f>_xlfn.XLOOKUP(A74, patients!A:A, patients!C:C)</f>
        <v>76</v>
      </c>
      <c r="S74" t="str">
        <f t="shared" si="1"/>
        <v>70+</v>
      </c>
      <c r="T74" s="1" t="str">
        <f>_xlfn.XLOOKUP(B74, diagnoses_icd!B:B, diagnoses_icd!D:D)</f>
        <v>311</v>
      </c>
    </row>
    <row r="75" spans="1:20" x14ac:dyDescent="0.2">
      <c r="A75">
        <v>10037861</v>
      </c>
      <c r="B75">
        <v>24540843</v>
      </c>
      <c r="C75" s="3">
        <v>79332.690277777772</v>
      </c>
      <c r="D75" s="3">
        <v>79342.000694444447</v>
      </c>
      <c r="E75" s="3">
        <v>79342.963888888888</v>
      </c>
      <c r="F75" s="1" t="s">
        <v>96</v>
      </c>
      <c r="G75" s="1" t="s">
        <v>113</v>
      </c>
      <c r="H75" s="1" t="s">
        <v>97</v>
      </c>
      <c r="I75" s="1" t="s">
        <v>42</v>
      </c>
      <c r="J75" s="1" t="s">
        <v>39</v>
      </c>
      <c r="K75" s="1" t="s">
        <v>30</v>
      </c>
      <c r="L75" s="1" t="s">
        <v>36</v>
      </c>
      <c r="M75" s="1" t="s">
        <v>44</v>
      </c>
      <c r="N75" s="3">
        <v>79332.638194444444</v>
      </c>
      <c r="O75" s="3">
        <v>79332.745138888888</v>
      </c>
      <c r="P75">
        <v>1</v>
      </c>
      <c r="Q75" t="str">
        <f>_xlfn.XLOOKUP(A75, patients!A:A, patients!B:B)</f>
        <v>M</v>
      </c>
      <c r="R75">
        <f>_xlfn.XLOOKUP(A75, patients!A:A, patients!C:C)</f>
        <v>77</v>
      </c>
      <c r="S75" t="str">
        <f t="shared" si="1"/>
        <v>70+</v>
      </c>
      <c r="T75" s="1" t="str">
        <f>_xlfn.XLOOKUP(B75, diagnoses_icd!B:B, diagnoses_icd!D:D)</f>
        <v>Z9911</v>
      </c>
    </row>
    <row r="76" spans="1:20" x14ac:dyDescent="0.2">
      <c r="A76">
        <v>10010471</v>
      </c>
      <c r="B76">
        <v>29842315</v>
      </c>
      <c r="C76" s="3">
        <v>93474.816666666666</v>
      </c>
      <c r="D76" s="3">
        <v>93479.645833333328</v>
      </c>
      <c r="E76" s="3">
        <v>93479.645833333328</v>
      </c>
      <c r="F76" s="1" t="s">
        <v>96</v>
      </c>
      <c r="G76" s="1" t="s">
        <v>114</v>
      </c>
      <c r="H76" s="1" t="s">
        <v>97</v>
      </c>
      <c r="I76" s="1" t="s">
        <v>42</v>
      </c>
      <c r="J76" s="1" t="s">
        <v>39</v>
      </c>
      <c r="K76" s="1" t="s">
        <v>30</v>
      </c>
      <c r="L76" s="1" t="s">
        <v>48</v>
      </c>
      <c r="M76" s="1" t="s">
        <v>40</v>
      </c>
      <c r="N76" s="3">
        <v>93474.666666666672</v>
      </c>
      <c r="O76" s="3">
        <v>93474.856249999997</v>
      </c>
      <c r="P76">
        <v>1</v>
      </c>
      <c r="Q76" t="str">
        <f>_xlfn.XLOOKUP(A76, patients!A:A, patients!B:B)</f>
        <v>F</v>
      </c>
      <c r="R76">
        <f>_xlfn.XLOOKUP(A76, patients!A:A, patients!C:C)</f>
        <v>89</v>
      </c>
      <c r="S76" t="str">
        <f t="shared" si="1"/>
        <v>70+</v>
      </c>
      <c r="T76" s="1" t="str">
        <f>_xlfn.XLOOKUP(B76, diagnoses_icd!B:B, diagnoses_icd!D:D)</f>
        <v>Z87891</v>
      </c>
    </row>
    <row r="77" spans="1:20" x14ac:dyDescent="0.2">
      <c r="A77">
        <v>10005866</v>
      </c>
      <c r="B77">
        <v>27167814</v>
      </c>
      <c r="C77" s="3">
        <v>90651.677777777775</v>
      </c>
      <c r="D77" s="3">
        <v>90662.770833333328</v>
      </c>
      <c r="E77" s="3"/>
      <c r="F77" s="1" t="s">
        <v>96</v>
      </c>
      <c r="G77" s="1" t="s">
        <v>115</v>
      </c>
      <c r="H77" s="1" t="s">
        <v>97</v>
      </c>
      <c r="I77" s="1" t="s">
        <v>28</v>
      </c>
      <c r="J77" s="1" t="s">
        <v>29</v>
      </c>
      <c r="K77" s="1" t="s">
        <v>30</v>
      </c>
      <c r="L77" s="1" t="s">
        <v>31</v>
      </c>
      <c r="M77" s="1" t="s">
        <v>116</v>
      </c>
      <c r="N77" s="3">
        <v>90651.198611111118</v>
      </c>
      <c r="O77" s="3">
        <v>90651.477083333331</v>
      </c>
      <c r="P77">
        <v>0</v>
      </c>
      <c r="Q77" t="str">
        <f>_xlfn.XLOOKUP(A77, patients!A:A, patients!B:B)</f>
        <v>M</v>
      </c>
      <c r="R77">
        <f>_xlfn.XLOOKUP(A77, patients!A:A, patients!C:C)</f>
        <v>57</v>
      </c>
      <c r="S77" t="str">
        <f t="shared" si="1"/>
        <v>50-70</v>
      </c>
      <c r="T77" s="1" t="str">
        <f>_xlfn.XLOOKUP(B77, diagnoses_icd!B:B, diagnoses_icd!D:D)</f>
        <v>R339</v>
      </c>
    </row>
    <row r="78" spans="1:20" x14ac:dyDescent="0.2">
      <c r="A78">
        <v>10005866</v>
      </c>
      <c r="B78">
        <v>26134779</v>
      </c>
      <c r="C78" s="3">
        <v>91203.316666666666</v>
      </c>
      <c r="D78" s="3">
        <v>91209.75</v>
      </c>
      <c r="E78" s="3"/>
      <c r="F78" s="1" t="s">
        <v>96</v>
      </c>
      <c r="G78" s="1" t="s">
        <v>117</v>
      </c>
      <c r="H78" s="1" t="s">
        <v>97</v>
      </c>
      <c r="I78" s="1" t="s">
        <v>46</v>
      </c>
      <c r="J78" s="1" t="s">
        <v>29</v>
      </c>
      <c r="K78" s="1" t="s">
        <v>30</v>
      </c>
      <c r="L78" s="1" t="s">
        <v>31</v>
      </c>
      <c r="M78" s="1" t="s">
        <v>116</v>
      </c>
      <c r="N78" s="3">
        <v>91202.646527777775</v>
      </c>
      <c r="O78" s="3">
        <v>91203.376388888893</v>
      </c>
      <c r="P78">
        <v>0</v>
      </c>
      <c r="Q78" t="str">
        <f>_xlfn.XLOOKUP(A78, patients!A:A, patients!B:B)</f>
        <v>M</v>
      </c>
      <c r="R78">
        <f>_xlfn.XLOOKUP(A78, patients!A:A, patients!C:C)</f>
        <v>57</v>
      </c>
      <c r="S78" t="str">
        <f t="shared" si="1"/>
        <v>50-70</v>
      </c>
      <c r="T78" s="1" t="str">
        <f>_xlfn.XLOOKUP(B78, diagnoses_icd!B:B, diagnoses_icd!D:D)</f>
        <v>F17210</v>
      </c>
    </row>
    <row r="79" spans="1:20" x14ac:dyDescent="0.2">
      <c r="A79">
        <v>10005866</v>
      </c>
      <c r="B79">
        <v>26158160</v>
      </c>
      <c r="C79" s="3">
        <v>90008.034722222219</v>
      </c>
      <c r="D79" s="3">
        <v>90011.697916666672</v>
      </c>
      <c r="E79" s="3"/>
      <c r="F79" s="1" t="s">
        <v>96</v>
      </c>
      <c r="G79" s="1" t="s">
        <v>118</v>
      </c>
      <c r="H79" s="1" t="s">
        <v>97</v>
      </c>
      <c r="I79" s="1" t="s">
        <v>46</v>
      </c>
      <c r="J79" s="1" t="s">
        <v>29</v>
      </c>
      <c r="K79" s="1" t="s">
        <v>30</v>
      </c>
      <c r="L79" s="1" t="s">
        <v>31</v>
      </c>
      <c r="M79" s="1" t="s">
        <v>116</v>
      </c>
      <c r="N79" s="3">
        <v>90007.934722222228</v>
      </c>
      <c r="O79" s="3">
        <v>90008.072916666672</v>
      </c>
      <c r="P79">
        <v>0</v>
      </c>
      <c r="Q79" t="str">
        <f>_xlfn.XLOOKUP(A79, patients!A:A, patients!B:B)</f>
        <v>M</v>
      </c>
      <c r="R79">
        <f>_xlfn.XLOOKUP(A79, patients!A:A, patients!C:C)</f>
        <v>57</v>
      </c>
      <c r="S79" t="str">
        <f t="shared" si="1"/>
        <v>50-70</v>
      </c>
      <c r="T79" s="1" t="str">
        <f>_xlfn.XLOOKUP(B79, diagnoses_icd!B:B, diagnoses_icd!D:D)</f>
        <v>30503</v>
      </c>
    </row>
    <row r="80" spans="1:20" x14ac:dyDescent="0.2">
      <c r="A80">
        <v>10024043</v>
      </c>
      <c r="B80">
        <v>24717014</v>
      </c>
      <c r="C80" s="3">
        <v>79360.865277777775</v>
      </c>
      <c r="D80" s="3">
        <v>79365.788194444438</v>
      </c>
      <c r="E80" s="3"/>
      <c r="F80" s="1" t="s">
        <v>96</v>
      </c>
      <c r="G80" s="1" t="s">
        <v>119</v>
      </c>
      <c r="H80" s="1" t="s">
        <v>97</v>
      </c>
      <c r="I80" s="1" t="s">
        <v>34</v>
      </c>
      <c r="J80" s="1" t="s">
        <v>39</v>
      </c>
      <c r="K80" s="1" t="s">
        <v>30</v>
      </c>
      <c r="L80" s="1" t="s">
        <v>31</v>
      </c>
      <c r="M80" s="1" t="s">
        <v>62</v>
      </c>
      <c r="N80" s="3">
        <v>79360.724305555559</v>
      </c>
      <c r="O80" s="3">
        <v>79360.920138888891</v>
      </c>
      <c r="P80">
        <v>0</v>
      </c>
      <c r="Q80" t="str">
        <f>_xlfn.XLOOKUP(A80, patients!A:A, patients!B:B)</f>
        <v>M</v>
      </c>
      <c r="R80">
        <f>_xlfn.XLOOKUP(A80, patients!A:A, patients!C:C)</f>
        <v>67</v>
      </c>
      <c r="S80" t="str">
        <f t="shared" si="1"/>
        <v>50-70</v>
      </c>
      <c r="T80" s="1" t="str">
        <f>_xlfn.XLOOKUP(B80, diagnoses_icd!B:B, diagnoses_icd!D:D)</f>
        <v>V113</v>
      </c>
    </row>
    <row r="81" spans="1:20" x14ac:dyDescent="0.2">
      <c r="A81">
        <v>10021487</v>
      </c>
      <c r="B81">
        <v>28998349</v>
      </c>
      <c r="C81" s="3">
        <v>79231.015972222216</v>
      </c>
      <c r="D81" s="3">
        <v>79256.554861111115</v>
      </c>
      <c r="E81" s="3"/>
      <c r="F81" s="1" t="s">
        <v>96</v>
      </c>
      <c r="G81" s="1" t="s">
        <v>120</v>
      </c>
      <c r="H81" s="1" t="s">
        <v>97</v>
      </c>
      <c r="I81" s="1" t="s">
        <v>46</v>
      </c>
      <c r="J81" s="1" t="s">
        <v>47</v>
      </c>
      <c r="K81" s="1" t="s">
        <v>30</v>
      </c>
      <c r="L81" s="1" t="s">
        <v>36</v>
      </c>
      <c r="M81" s="1" t="s">
        <v>40</v>
      </c>
      <c r="N81" s="3">
        <v>79230.956250000003</v>
      </c>
      <c r="O81" s="3">
        <v>79231.04305555555</v>
      </c>
      <c r="P81">
        <v>0</v>
      </c>
      <c r="Q81" t="str">
        <f>_xlfn.XLOOKUP(A81, patients!A:A, patients!B:B)</f>
        <v>M</v>
      </c>
      <c r="R81">
        <f>_xlfn.XLOOKUP(A81, patients!A:A, patients!C:C)</f>
        <v>43</v>
      </c>
      <c r="S81" t="str">
        <f t="shared" si="1"/>
        <v>30-50</v>
      </c>
      <c r="T81" s="1" t="str">
        <f>_xlfn.XLOOKUP(B81, diagnoses_icd!B:B, diagnoses_icd!D:D)</f>
        <v>86389</v>
      </c>
    </row>
    <row r="82" spans="1:20" x14ac:dyDescent="0.2">
      <c r="A82">
        <v>10021487</v>
      </c>
      <c r="B82">
        <v>21928381</v>
      </c>
      <c r="C82" s="3">
        <v>79596.713194444441</v>
      </c>
      <c r="D82" s="3">
        <v>79599.729166666672</v>
      </c>
      <c r="E82" s="3"/>
      <c r="F82" s="1" t="s">
        <v>96</v>
      </c>
      <c r="G82" s="1" t="s">
        <v>90</v>
      </c>
      <c r="H82" s="1" t="s">
        <v>112</v>
      </c>
      <c r="I82" s="1" t="s">
        <v>46</v>
      </c>
      <c r="J82" s="1" t="s">
        <v>47</v>
      </c>
      <c r="K82" s="1" t="s">
        <v>30</v>
      </c>
      <c r="L82" s="1" t="s">
        <v>91</v>
      </c>
      <c r="M82" s="1" t="s">
        <v>40</v>
      </c>
      <c r="N82" s="3"/>
      <c r="O82" s="3"/>
      <c r="P82">
        <v>0</v>
      </c>
      <c r="Q82" t="str">
        <f>_xlfn.XLOOKUP(A82, patients!A:A, patients!B:B)</f>
        <v>M</v>
      </c>
      <c r="R82">
        <f>_xlfn.XLOOKUP(A82, patients!A:A, patients!C:C)</f>
        <v>43</v>
      </c>
      <c r="S82" t="str">
        <f t="shared" si="1"/>
        <v>30-50</v>
      </c>
      <c r="T82" s="1" t="str">
        <f>_xlfn.XLOOKUP(B82, diagnoses_icd!B:B, diagnoses_icd!D:D)</f>
        <v>56981</v>
      </c>
    </row>
    <row r="83" spans="1:20" x14ac:dyDescent="0.2">
      <c r="A83">
        <v>10021487</v>
      </c>
      <c r="B83">
        <v>26321862</v>
      </c>
      <c r="C83" s="3">
        <v>79287.013194444444</v>
      </c>
      <c r="D83" s="3">
        <v>79295.652777777781</v>
      </c>
      <c r="E83" s="3"/>
      <c r="F83" s="1" t="s">
        <v>96</v>
      </c>
      <c r="G83" s="1" t="s">
        <v>121</v>
      </c>
      <c r="H83" s="1" t="s">
        <v>97</v>
      </c>
      <c r="I83" s="1" t="s">
        <v>46</v>
      </c>
      <c r="J83" s="1" t="s">
        <v>47</v>
      </c>
      <c r="K83" s="1" t="s">
        <v>30</v>
      </c>
      <c r="L83" s="1" t="s">
        <v>36</v>
      </c>
      <c r="M83" s="1" t="s">
        <v>40</v>
      </c>
      <c r="N83" s="3">
        <v>79286.763194444444</v>
      </c>
      <c r="O83" s="3">
        <v>79287.057638888888</v>
      </c>
      <c r="P83">
        <v>0</v>
      </c>
      <c r="Q83" t="str">
        <f>_xlfn.XLOOKUP(A83, patients!A:A, patients!B:B)</f>
        <v>M</v>
      </c>
      <c r="R83">
        <f>_xlfn.XLOOKUP(A83, patients!A:A, patients!C:C)</f>
        <v>43</v>
      </c>
      <c r="S83" t="str">
        <f t="shared" si="1"/>
        <v>30-50</v>
      </c>
      <c r="T83" s="1" t="str">
        <f>_xlfn.XLOOKUP(B83, diagnoses_icd!B:B, diagnoses_icd!D:D)</f>
        <v>04109</v>
      </c>
    </row>
    <row r="84" spans="1:20" x14ac:dyDescent="0.2">
      <c r="A84">
        <v>10021487</v>
      </c>
      <c r="B84">
        <v>27112038</v>
      </c>
      <c r="C84" s="3">
        <v>79557.931944444441</v>
      </c>
      <c r="D84" s="3">
        <v>79561.611111111109</v>
      </c>
      <c r="E84" s="3"/>
      <c r="F84" s="1" t="s">
        <v>96</v>
      </c>
      <c r="G84" s="1" t="s">
        <v>38</v>
      </c>
      <c r="H84" s="1" t="s">
        <v>97</v>
      </c>
      <c r="I84" s="1" t="s">
        <v>46</v>
      </c>
      <c r="J84" s="1" t="s">
        <v>47</v>
      </c>
      <c r="K84" s="1" t="s">
        <v>30</v>
      </c>
      <c r="L84" s="1" t="s">
        <v>91</v>
      </c>
      <c r="M84" s="1" t="s">
        <v>40</v>
      </c>
      <c r="N84" s="3">
        <v>79557.659027777772</v>
      </c>
      <c r="O84" s="3">
        <v>79557.953472222216</v>
      </c>
      <c r="P84">
        <v>0</v>
      </c>
      <c r="Q84" t="str">
        <f>_xlfn.XLOOKUP(A84, patients!A:A, patients!B:B)</f>
        <v>M</v>
      </c>
      <c r="R84">
        <f>_xlfn.XLOOKUP(A84, patients!A:A, patients!C:C)</f>
        <v>43</v>
      </c>
      <c r="S84" t="str">
        <f t="shared" si="1"/>
        <v>30-50</v>
      </c>
      <c r="T84" s="1" t="str">
        <f>_xlfn.XLOOKUP(B84, diagnoses_icd!B:B, diagnoses_icd!D:D)</f>
        <v>04185</v>
      </c>
    </row>
    <row r="85" spans="1:20" x14ac:dyDescent="0.2">
      <c r="A85">
        <v>10015860</v>
      </c>
      <c r="B85">
        <v>24698912</v>
      </c>
      <c r="C85" s="3">
        <v>106785.32083333333</v>
      </c>
      <c r="D85" s="3">
        <v>106800.78472222222</v>
      </c>
      <c r="E85" s="3"/>
      <c r="F85" s="1" t="s">
        <v>96</v>
      </c>
      <c r="G85" s="1" t="s">
        <v>26</v>
      </c>
      <c r="H85" s="1" t="s">
        <v>86</v>
      </c>
      <c r="I85" s="1" t="s">
        <v>28</v>
      </c>
      <c r="J85" s="1" t="s">
        <v>47</v>
      </c>
      <c r="K85" s="1" t="s">
        <v>30</v>
      </c>
      <c r="L85" s="1" t="s">
        <v>31</v>
      </c>
      <c r="M85" s="1" t="s">
        <v>40</v>
      </c>
      <c r="N85" s="3">
        <v>106784.68472222223</v>
      </c>
      <c r="O85" s="3">
        <v>106785.39652777778</v>
      </c>
      <c r="P85">
        <v>0</v>
      </c>
      <c r="Q85" t="str">
        <f>_xlfn.XLOOKUP(A85, patients!A:A, patients!B:B)</f>
        <v>M</v>
      </c>
      <c r="R85">
        <f>_xlfn.XLOOKUP(A85, patients!A:A, patients!C:C)</f>
        <v>53</v>
      </c>
      <c r="S85" t="str">
        <f t="shared" si="1"/>
        <v>50-70</v>
      </c>
      <c r="T85" s="1" t="str">
        <f>_xlfn.XLOOKUP(B85, diagnoses_icd!B:B, diagnoses_icd!D:D)</f>
        <v>D329</v>
      </c>
    </row>
    <row r="86" spans="1:20" x14ac:dyDescent="0.2">
      <c r="A86">
        <v>10015860</v>
      </c>
      <c r="B86">
        <v>28236161</v>
      </c>
      <c r="C86" s="3">
        <v>105084.78402777777</v>
      </c>
      <c r="D86" s="3">
        <v>105088.61805555556</v>
      </c>
      <c r="E86" s="3"/>
      <c r="F86" s="1" t="s">
        <v>96</v>
      </c>
      <c r="G86" s="1" t="s">
        <v>122</v>
      </c>
      <c r="H86" s="1" t="s">
        <v>97</v>
      </c>
      <c r="I86" s="1" t="s">
        <v>34</v>
      </c>
      <c r="J86" s="1" t="s">
        <v>47</v>
      </c>
      <c r="K86" s="1" t="s">
        <v>30</v>
      </c>
      <c r="L86" s="1" t="s">
        <v>31</v>
      </c>
      <c r="M86" s="1" t="s">
        <v>40</v>
      </c>
      <c r="N86" s="3">
        <v>105084.59305555555</v>
      </c>
      <c r="O86" s="3">
        <v>105084.86736111112</v>
      </c>
      <c r="P86">
        <v>0</v>
      </c>
      <c r="Q86" t="str">
        <f>_xlfn.XLOOKUP(A86, patients!A:A, patients!B:B)</f>
        <v>M</v>
      </c>
      <c r="R86">
        <f>_xlfn.XLOOKUP(A86, patients!A:A, patients!C:C)</f>
        <v>53</v>
      </c>
      <c r="S86" t="str">
        <f t="shared" si="1"/>
        <v>50-70</v>
      </c>
      <c r="T86" s="1" t="str">
        <f>_xlfn.XLOOKUP(B86, diagnoses_icd!B:B, diagnoses_icd!D:D)</f>
        <v>V1582</v>
      </c>
    </row>
    <row r="87" spans="1:20" x14ac:dyDescent="0.2">
      <c r="A87">
        <v>10015860</v>
      </c>
      <c r="B87">
        <v>20790339</v>
      </c>
      <c r="C87" s="3">
        <v>105700.09305555555</v>
      </c>
      <c r="D87" s="3">
        <v>105702.61458333333</v>
      </c>
      <c r="E87" s="3"/>
      <c r="F87" s="1" t="s">
        <v>96</v>
      </c>
      <c r="G87" s="1" t="s">
        <v>123</v>
      </c>
      <c r="H87" s="1" t="s">
        <v>97</v>
      </c>
      <c r="I87" s="1" t="s">
        <v>34</v>
      </c>
      <c r="J87" s="1" t="s">
        <v>47</v>
      </c>
      <c r="K87" s="1" t="s">
        <v>30</v>
      </c>
      <c r="L87" s="1" t="s">
        <v>31</v>
      </c>
      <c r="M87" s="1" t="s">
        <v>40</v>
      </c>
      <c r="N87" s="3">
        <v>105699.97083333334</v>
      </c>
      <c r="O87" s="3">
        <v>105700.15138888889</v>
      </c>
      <c r="P87">
        <v>0</v>
      </c>
      <c r="Q87" t="str">
        <f>_xlfn.XLOOKUP(A87, patients!A:A, patients!B:B)</f>
        <v>M</v>
      </c>
      <c r="R87">
        <f>_xlfn.XLOOKUP(A87, patients!A:A, patients!C:C)</f>
        <v>53</v>
      </c>
      <c r="S87" t="str">
        <f t="shared" si="1"/>
        <v>50-70</v>
      </c>
      <c r="T87" s="1" t="str">
        <f>_xlfn.XLOOKUP(B87, diagnoses_icd!B:B, diagnoses_icd!D:D)</f>
        <v>3572</v>
      </c>
    </row>
    <row r="88" spans="1:20" x14ac:dyDescent="0.2">
      <c r="A88">
        <v>10015860</v>
      </c>
      <c r="B88">
        <v>25085565</v>
      </c>
      <c r="C88" s="3">
        <v>104719.675</v>
      </c>
      <c r="D88" s="3">
        <v>104733.75347222222</v>
      </c>
      <c r="E88" s="3"/>
      <c r="F88" s="1" t="s">
        <v>96</v>
      </c>
      <c r="G88" s="1" t="s">
        <v>124</v>
      </c>
      <c r="H88" s="1" t="s">
        <v>97</v>
      </c>
      <c r="I88" s="1" t="s">
        <v>81</v>
      </c>
      <c r="J88" s="1" t="s">
        <v>47</v>
      </c>
      <c r="K88" s="1" t="s">
        <v>30</v>
      </c>
      <c r="L88" s="1" t="s">
        <v>31</v>
      </c>
      <c r="M88" s="1" t="s">
        <v>40</v>
      </c>
      <c r="N88" s="3">
        <v>104719.53888888888</v>
      </c>
      <c r="O88" s="3">
        <v>104719.71875</v>
      </c>
      <c r="P88">
        <v>0</v>
      </c>
      <c r="Q88" t="str">
        <f>_xlfn.XLOOKUP(A88, patients!A:A, patients!B:B)</f>
        <v>M</v>
      </c>
      <c r="R88">
        <f>_xlfn.XLOOKUP(A88, patients!A:A, patients!C:C)</f>
        <v>53</v>
      </c>
      <c r="S88" t="str">
        <f t="shared" si="1"/>
        <v>50-70</v>
      </c>
      <c r="T88" s="1" t="str">
        <f>_xlfn.XLOOKUP(B88, diagnoses_icd!B:B, diagnoses_icd!D:D)</f>
        <v>0380</v>
      </c>
    </row>
    <row r="89" spans="1:20" x14ac:dyDescent="0.2">
      <c r="A89">
        <v>10015860</v>
      </c>
      <c r="B89">
        <v>20854119</v>
      </c>
      <c r="C89" s="3">
        <v>105410.03402777777</v>
      </c>
      <c r="D89" s="3">
        <v>105416.74236111112</v>
      </c>
      <c r="E89" s="3"/>
      <c r="F89" s="1" t="s">
        <v>96</v>
      </c>
      <c r="G89" s="1" t="s">
        <v>125</v>
      </c>
      <c r="H89" s="1" t="s">
        <v>97</v>
      </c>
      <c r="I89" s="1" t="s">
        <v>34</v>
      </c>
      <c r="J89" s="1" t="s">
        <v>47</v>
      </c>
      <c r="K89" s="1" t="s">
        <v>30</v>
      </c>
      <c r="L89" s="1" t="s">
        <v>31</v>
      </c>
      <c r="M89" s="1" t="s">
        <v>40</v>
      </c>
      <c r="N89" s="3">
        <v>105409.85833333334</v>
      </c>
      <c r="O89" s="3">
        <v>105410.14166666666</v>
      </c>
      <c r="P89">
        <v>0</v>
      </c>
      <c r="Q89" t="str">
        <f>_xlfn.XLOOKUP(A89, patients!A:A, patients!B:B)</f>
        <v>M</v>
      </c>
      <c r="R89">
        <f>_xlfn.XLOOKUP(A89, patients!A:A, patients!C:C)</f>
        <v>53</v>
      </c>
      <c r="S89" t="str">
        <f t="shared" si="1"/>
        <v>50-70</v>
      </c>
      <c r="T89" s="1" t="str">
        <f>_xlfn.XLOOKUP(B89, diagnoses_icd!B:B, diagnoses_icd!D:D)</f>
        <v>0380</v>
      </c>
    </row>
    <row r="90" spans="1:20" x14ac:dyDescent="0.2">
      <c r="A90">
        <v>10018423</v>
      </c>
      <c r="B90">
        <v>29366372</v>
      </c>
      <c r="C90" s="3">
        <v>97644.891666666663</v>
      </c>
      <c r="D90" s="3">
        <v>97652.539583333331</v>
      </c>
      <c r="E90" s="3"/>
      <c r="F90" s="1" t="s">
        <v>96</v>
      </c>
      <c r="G90" s="1" t="s">
        <v>126</v>
      </c>
      <c r="H90" s="1" t="s">
        <v>97</v>
      </c>
      <c r="I90" s="1" t="s">
        <v>34</v>
      </c>
      <c r="J90" s="1" t="s">
        <v>47</v>
      </c>
      <c r="K90" s="1" t="s">
        <v>30</v>
      </c>
      <c r="L90" s="1" t="s">
        <v>36</v>
      </c>
      <c r="M90" s="1" t="s">
        <v>40</v>
      </c>
      <c r="N90" s="3">
        <v>97644.637499999997</v>
      </c>
      <c r="O90" s="3">
        <v>97644.951388888891</v>
      </c>
      <c r="P90">
        <v>0</v>
      </c>
      <c r="Q90" t="str">
        <f>_xlfn.XLOOKUP(A90, patients!A:A, patients!B:B)</f>
        <v>M</v>
      </c>
      <c r="R90">
        <f>_xlfn.XLOOKUP(A90, patients!A:A, patients!C:C)</f>
        <v>37</v>
      </c>
      <c r="S90" t="str">
        <f t="shared" si="1"/>
        <v>30-50</v>
      </c>
      <c r="T90" s="1" t="str">
        <f>_xlfn.XLOOKUP(B90, diagnoses_icd!B:B, diagnoses_icd!D:D)</f>
        <v>D62</v>
      </c>
    </row>
    <row r="91" spans="1:20" x14ac:dyDescent="0.2">
      <c r="A91">
        <v>10007928</v>
      </c>
      <c r="B91">
        <v>20338077</v>
      </c>
      <c r="C91" s="3">
        <v>83737.955555555556</v>
      </c>
      <c r="D91" s="3">
        <v>83743.725694444438</v>
      </c>
      <c r="E91" s="3"/>
      <c r="F91" s="1" t="s">
        <v>96</v>
      </c>
      <c r="G91" s="1" t="s">
        <v>127</v>
      </c>
      <c r="H91" s="1" t="s">
        <v>97</v>
      </c>
      <c r="I91" s="1" t="s">
        <v>46</v>
      </c>
      <c r="J91" s="1" t="s">
        <v>47</v>
      </c>
      <c r="K91" s="1" t="s">
        <v>30</v>
      </c>
      <c r="L91" s="1" t="s">
        <v>91</v>
      </c>
      <c r="M91" s="1" t="s">
        <v>40</v>
      </c>
      <c r="N91" s="3">
        <v>83737.887499999997</v>
      </c>
      <c r="O91" s="3">
        <v>83738.017361111109</v>
      </c>
      <c r="P91">
        <v>0</v>
      </c>
      <c r="Q91" t="str">
        <f>_xlfn.XLOOKUP(A91, patients!A:A, patients!B:B)</f>
        <v>F</v>
      </c>
      <c r="R91">
        <f>_xlfn.XLOOKUP(A91, patients!A:A, patients!C:C)</f>
        <v>59</v>
      </c>
      <c r="S91" t="str">
        <f t="shared" si="1"/>
        <v>50-70</v>
      </c>
      <c r="T91" s="1" t="str">
        <f>_xlfn.XLOOKUP(B91, diagnoses_icd!B:B, diagnoses_icd!D:D)</f>
        <v>53240</v>
      </c>
    </row>
    <row r="92" spans="1:20" x14ac:dyDescent="0.2">
      <c r="A92">
        <v>10014078</v>
      </c>
      <c r="B92">
        <v>25809882</v>
      </c>
      <c r="C92" s="3">
        <v>97389.964583333334</v>
      </c>
      <c r="D92" s="3">
        <v>97394.616666666669</v>
      </c>
      <c r="E92" s="3"/>
      <c r="F92" s="1" t="s">
        <v>96</v>
      </c>
      <c r="G92" s="1" t="s">
        <v>128</v>
      </c>
      <c r="H92" s="1" t="s">
        <v>97</v>
      </c>
      <c r="I92" s="1" t="s">
        <v>34</v>
      </c>
      <c r="J92" s="1" t="s">
        <v>29</v>
      </c>
      <c r="K92" s="1" t="s">
        <v>30</v>
      </c>
      <c r="L92" s="1" t="s">
        <v>43</v>
      </c>
      <c r="M92" s="1" t="s">
        <v>89</v>
      </c>
      <c r="N92" s="3">
        <v>97389.902083333334</v>
      </c>
      <c r="O92" s="3">
        <v>97390.024999999994</v>
      </c>
      <c r="P92">
        <v>0</v>
      </c>
      <c r="Q92" t="str">
        <f>_xlfn.XLOOKUP(A92, patients!A:A, patients!B:B)</f>
        <v>F</v>
      </c>
      <c r="R92">
        <f>_xlfn.XLOOKUP(A92, patients!A:A, patients!C:C)</f>
        <v>60</v>
      </c>
      <c r="S92" t="str">
        <f t="shared" si="1"/>
        <v>50-70</v>
      </c>
      <c r="T92" s="1" t="str">
        <f>_xlfn.XLOOKUP(B92, diagnoses_icd!B:B, diagnoses_icd!D:D)</f>
        <v>1369</v>
      </c>
    </row>
    <row r="93" spans="1:20" x14ac:dyDescent="0.2">
      <c r="A93">
        <v>10020740</v>
      </c>
      <c r="B93">
        <v>25826145</v>
      </c>
      <c r="C93" s="3">
        <v>91466.84166666666</v>
      </c>
      <c r="D93" s="3">
        <v>91470.628472222219</v>
      </c>
      <c r="E93" s="3"/>
      <c r="F93" s="1" t="s">
        <v>96</v>
      </c>
      <c r="G93" s="1" t="s">
        <v>129</v>
      </c>
      <c r="H93" s="1" t="s">
        <v>106</v>
      </c>
      <c r="I93" s="1" t="s">
        <v>28</v>
      </c>
      <c r="J93" s="1" t="s">
        <v>47</v>
      </c>
      <c r="K93" s="1" t="s">
        <v>30</v>
      </c>
      <c r="L93" s="1" t="s">
        <v>31</v>
      </c>
      <c r="M93" s="1" t="s">
        <v>40</v>
      </c>
      <c r="N93" s="3"/>
      <c r="O93" s="3"/>
      <c r="P93">
        <v>0</v>
      </c>
      <c r="Q93" t="str">
        <f>_xlfn.XLOOKUP(A93, patients!A:A, patients!B:B)</f>
        <v>M</v>
      </c>
      <c r="R93">
        <f>_xlfn.XLOOKUP(A93, patients!A:A, patients!C:C)</f>
        <v>56</v>
      </c>
      <c r="S93" t="str">
        <f t="shared" si="1"/>
        <v>50-70</v>
      </c>
      <c r="T93" s="1" t="str">
        <f>_xlfn.XLOOKUP(B93, diagnoses_icd!B:B, diagnoses_icd!D:D)</f>
        <v>5680</v>
      </c>
    </row>
    <row r="94" spans="1:20" x14ac:dyDescent="0.2">
      <c r="A94">
        <v>10008454</v>
      </c>
      <c r="B94">
        <v>20291550</v>
      </c>
      <c r="C94" s="3">
        <v>77036.271527777775</v>
      </c>
      <c r="D94" s="3">
        <v>77046.661805555559</v>
      </c>
      <c r="E94" s="3"/>
      <c r="F94" s="1" t="s">
        <v>96</v>
      </c>
      <c r="G94" s="1" t="s">
        <v>55</v>
      </c>
      <c r="H94" s="1" t="s">
        <v>97</v>
      </c>
      <c r="I94" s="1" t="s">
        <v>34</v>
      </c>
      <c r="J94" s="1" t="s">
        <v>47</v>
      </c>
      <c r="K94" s="1" t="s">
        <v>30</v>
      </c>
      <c r="L94" s="1" t="s">
        <v>31</v>
      </c>
      <c r="M94" s="1" t="s">
        <v>40</v>
      </c>
      <c r="N94" s="3">
        <v>77036.197916666672</v>
      </c>
      <c r="O94" s="3">
        <v>77036.335416666669</v>
      </c>
      <c r="P94">
        <v>0</v>
      </c>
      <c r="Q94" t="str">
        <f>_xlfn.XLOOKUP(A94, patients!A:A, patients!B:B)</f>
        <v>F</v>
      </c>
      <c r="R94">
        <f>_xlfn.XLOOKUP(A94, patients!A:A, patients!C:C)</f>
        <v>26</v>
      </c>
      <c r="S94" t="str">
        <f t="shared" si="1"/>
        <v>Under 30</v>
      </c>
      <c r="T94" s="1" t="str">
        <f>_xlfn.XLOOKUP(B94, diagnoses_icd!B:B, diagnoses_icd!D:D)</f>
        <v>80704</v>
      </c>
    </row>
    <row r="95" spans="1:20" x14ac:dyDescent="0.2">
      <c r="A95">
        <v>10022281</v>
      </c>
      <c r="B95">
        <v>29642388</v>
      </c>
      <c r="C95" s="3">
        <v>82349.174305555556</v>
      </c>
      <c r="D95" s="3">
        <v>82351.642361111109</v>
      </c>
      <c r="E95" s="3"/>
      <c r="F95" s="1" t="s">
        <v>96</v>
      </c>
      <c r="G95" s="1" t="s">
        <v>85</v>
      </c>
      <c r="H95" s="1" t="s">
        <v>97</v>
      </c>
      <c r="I95" s="1" t="s">
        <v>46</v>
      </c>
      <c r="J95" s="1" t="s">
        <v>47</v>
      </c>
      <c r="K95" s="1" t="s">
        <v>30</v>
      </c>
      <c r="L95" s="1" t="s">
        <v>36</v>
      </c>
      <c r="M95" s="1" t="s">
        <v>53</v>
      </c>
      <c r="N95" s="3">
        <v>82348.85555555555</v>
      </c>
      <c r="O95" s="3">
        <v>82349.218055555553</v>
      </c>
      <c r="P95">
        <v>0</v>
      </c>
      <c r="Q95" t="str">
        <f>_xlfn.XLOOKUP(A95, patients!A:A, patients!B:B)</f>
        <v>M</v>
      </c>
      <c r="R95">
        <f>_xlfn.XLOOKUP(A95, patients!A:A, patients!C:C)</f>
        <v>84</v>
      </c>
      <c r="S95" t="str">
        <f t="shared" si="1"/>
        <v>70+</v>
      </c>
      <c r="T95" s="1" t="str">
        <f>_xlfn.XLOOKUP(B95, diagnoses_icd!B:B, diagnoses_icd!D:D)</f>
        <v>25000</v>
      </c>
    </row>
    <row r="96" spans="1:20" x14ac:dyDescent="0.2">
      <c r="A96">
        <v>10014354</v>
      </c>
      <c r="B96">
        <v>24357615</v>
      </c>
      <c r="C96" s="3">
        <v>91441.672916666663</v>
      </c>
      <c r="D96" s="3">
        <v>91442.665972222225</v>
      </c>
      <c r="E96" s="3"/>
      <c r="F96" s="1" t="s">
        <v>96</v>
      </c>
      <c r="G96" s="1" t="s">
        <v>130</v>
      </c>
      <c r="H96" s="1" t="s">
        <v>86</v>
      </c>
      <c r="I96" s="1" t="s">
        <v>34</v>
      </c>
      <c r="J96" s="1" t="s">
        <v>47</v>
      </c>
      <c r="K96" s="1" t="s">
        <v>30</v>
      </c>
      <c r="L96" s="1" t="s">
        <v>31</v>
      </c>
      <c r="M96" s="1" t="s">
        <v>40</v>
      </c>
      <c r="N96" s="3">
        <v>91440.9375</v>
      </c>
      <c r="O96" s="3">
        <v>91441.797916666663</v>
      </c>
      <c r="P96">
        <v>0</v>
      </c>
      <c r="Q96" t="str">
        <f>_xlfn.XLOOKUP(A96, patients!A:A, patients!B:B)</f>
        <v>M</v>
      </c>
      <c r="R96">
        <f>_xlfn.XLOOKUP(A96, patients!A:A, patients!C:C)</f>
        <v>60</v>
      </c>
      <c r="S96" t="str">
        <f t="shared" si="1"/>
        <v>50-70</v>
      </c>
      <c r="T96" s="1" t="str">
        <f>_xlfn.XLOOKUP(B96, diagnoses_icd!B:B, diagnoses_icd!D:D)</f>
        <v>I480</v>
      </c>
    </row>
    <row r="97" spans="1:20" x14ac:dyDescent="0.2">
      <c r="A97">
        <v>10014354</v>
      </c>
      <c r="B97">
        <v>22741225</v>
      </c>
      <c r="C97" s="3">
        <v>90132.990972222222</v>
      </c>
      <c r="D97" s="3">
        <v>90136.763888888891</v>
      </c>
      <c r="E97" s="3"/>
      <c r="F97" s="1" t="s">
        <v>96</v>
      </c>
      <c r="G97" s="1" t="s">
        <v>119</v>
      </c>
      <c r="H97" s="1" t="s">
        <v>97</v>
      </c>
      <c r="I97" s="1" t="s">
        <v>34</v>
      </c>
      <c r="J97" s="1" t="s">
        <v>47</v>
      </c>
      <c r="K97" s="1" t="s">
        <v>30</v>
      </c>
      <c r="L97" s="1" t="s">
        <v>36</v>
      </c>
      <c r="M97" s="1" t="s">
        <v>40</v>
      </c>
      <c r="N97" s="3">
        <v>90132.893750000003</v>
      </c>
      <c r="O97" s="3">
        <v>90133.047222222216</v>
      </c>
      <c r="P97">
        <v>0</v>
      </c>
      <c r="Q97" t="str">
        <f>_xlfn.XLOOKUP(A97, patients!A:A, patients!B:B)</f>
        <v>M</v>
      </c>
      <c r="R97">
        <f>_xlfn.XLOOKUP(A97, patients!A:A, patients!C:C)</f>
        <v>60</v>
      </c>
      <c r="S97" t="str">
        <f t="shared" si="1"/>
        <v>50-70</v>
      </c>
      <c r="T97" s="1" t="str">
        <f>_xlfn.XLOOKUP(B97, diagnoses_icd!B:B, diagnoses_icd!D:D)</f>
        <v>C9110</v>
      </c>
    </row>
    <row r="98" spans="1:20" x14ac:dyDescent="0.2">
      <c r="A98">
        <v>10014354</v>
      </c>
      <c r="B98">
        <v>26013492</v>
      </c>
      <c r="C98" s="3">
        <v>90534.925000000003</v>
      </c>
      <c r="D98" s="3">
        <v>90536.625</v>
      </c>
      <c r="E98" s="3"/>
      <c r="F98" s="1" t="s">
        <v>96</v>
      </c>
      <c r="G98" s="1" t="s">
        <v>131</v>
      </c>
      <c r="H98" s="1" t="s">
        <v>97</v>
      </c>
      <c r="I98" s="1" t="s">
        <v>34</v>
      </c>
      <c r="J98" s="1" t="s">
        <v>47</v>
      </c>
      <c r="K98" s="1" t="s">
        <v>30</v>
      </c>
      <c r="L98" s="1" t="s">
        <v>31</v>
      </c>
      <c r="M98" s="1" t="s">
        <v>40</v>
      </c>
      <c r="N98" s="3">
        <v>90534.765277777784</v>
      </c>
      <c r="O98" s="3">
        <v>90534.964583333334</v>
      </c>
      <c r="P98">
        <v>0</v>
      </c>
      <c r="Q98" t="str">
        <f>_xlfn.XLOOKUP(A98, patients!A:A, patients!B:B)</f>
        <v>M</v>
      </c>
      <c r="R98">
        <f>_xlfn.XLOOKUP(A98, patients!A:A, patients!C:C)</f>
        <v>60</v>
      </c>
      <c r="S98" t="str">
        <f t="shared" si="1"/>
        <v>50-70</v>
      </c>
      <c r="T98" s="1" t="str">
        <f>_xlfn.XLOOKUP(B98, diagnoses_icd!B:B, diagnoses_icd!D:D)</f>
        <v>N179</v>
      </c>
    </row>
    <row r="99" spans="1:20" x14ac:dyDescent="0.2">
      <c r="A99">
        <v>10014354</v>
      </c>
      <c r="B99">
        <v>29757856</v>
      </c>
      <c r="C99" s="3">
        <v>91412.111111111109</v>
      </c>
      <c r="D99" s="3">
        <v>91417.75</v>
      </c>
      <c r="E99" s="3"/>
      <c r="F99" s="1" t="s">
        <v>96</v>
      </c>
      <c r="G99" s="1" t="s">
        <v>132</v>
      </c>
      <c r="H99" s="1" t="s">
        <v>133</v>
      </c>
      <c r="I99" s="1" t="s">
        <v>34</v>
      </c>
      <c r="J99" s="1" t="s">
        <v>47</v>
      </c>
      <c r="K99" s="1" t="s">
        <v>30</v>
      </c>
      <c r="L99" s="1" t="s">
        <v>31</v>
      </c>
      <c r="M99" s="1" t="s">
        <v>40</v>
      </c>
      <c r="N99" s="3">
        <v>91411.826388888891</v>
      </c>
      <c r="O99" s="3">
        <v>91412.156944444447</v>
      </c>
      <c r="P99">
        <v>0</v>
      </c>
      <c r="Q99" t="str">
        <f>_xlfn.XLOOKUP(A99, patients!A:A, patients!B:B)</f>
        <v>M</v>
      </c>
      <c r="R99">
        <f>_xlfn.XLOOKUP(A99, patients!A:A, patients!C:C)</f>
        <v>60</v>
      </c>
      <c r="S99" t="str">
        <f t="shared" si="1"/>
        <v>50-70</v>
      </c>
      <c r="T99" s="1" t="str">
        <f>_xlfn.XLOOKUP(B99, diagnoses_icd!B:B, diagnoses_icd!D:D)</f>
        <v>Z8547</v>
      </c>
    </row>
    <row r="100" spans="1:20" x14ac:dyDescent="0.2">
      <c r="A100">
        <v>10038933</v>
      </c>
      <c r="B100">
        <v>25129047</v>
      </c>
      <c r="C100" s="3">
        <v>90835.506250000006</v>
      </c>
      <c r="D100" s="3">
        <v>90848.512499999997</v>
      </c>
      <c r="E100" s="3"/>
      <c r="F100" s="1" t="s">
        <v>96</v>
      </c>
      <c r="G100" s="1" t="s">
        <v>134</v>
      </c>
      <c r="H100" s="1" t="s">
        <v>97</v>
      </c>
      <c r="I100" s="1" t="s">
        <v>81</v>
      </c>
      <c r="J100" s="1" t="s">
        <v>47</v>
      </c>
      <c r="K100" s="1" t="s">
        <v>30</v>
      </c>
      <c r="L100" s="1" t="s">
        <v>31</v>
      </c>
      <c r="M100" s="1" t="s">
        <v>40</v>
      </c>
      <c r="N100" s="3">
        <v>90835.390972222216</v>
      </c>
      <c r="O100" s="3">
        <v>90835.554861111115</v>
      </c>
      <c r="P100">
        <v>0</v>
      </c>
      <c r="Q100" t="str">
        <f>_xlfn.XLOOKUP(A100, patients!A:A, patients!B:B)</f>
        <v>M</v>
      </c>
      <c r="R100">
        <f>_xlfn.XLOOKUP(A100, patients!A:A, patients!C:C)</f>
        <v>34</v>
      </c>
      <c r="S100" t="str">
        <f t="shared" si="1"/>
        <v>30-50</v>
      </c>
      <c r="T100" s="1" t="str">
        <f>_xlfn.XLOOKUP(B100, diagnoses_icd!B:B, diagnoses_icd!D:D)</f>
        <v>34830</v>
      </c>
    </row>
    <row r="101" spans="1:20" x14ac:dyDescent="0.2">
      <c r="A101">
        <v>10016150</v>
      </c>
      <c r="B101">
        <v>29374560</v>
      </c>
      <c r="C101" s="3">
        <v>88520.628472222219</v>
      </c>
      <c r="D101" s="3">
        <v>88525.825694444444</v>
      </c>
      <c r="E101" s="3"/>
      <c r="F101" s="1" t="s">
        <v>96</v>
      </c>
      <c r="G101" s="1" t="s">
        <v>135</v>
      </c>
      <c r="H101" s="1" t="s">
        <v>112</v>
      </c>
      <c r="I101" s="1" t="s">
        <v>81</v>
      </c>
      <c r="J101" s="1" t="s">
        <v>39</v>
      </c>
      <c r="K101" s="1" t="s">
        <v>30</v>
      </c>
      <c r="L101" s="1" t="s">
        <v>31</v>
      </c>
      <c r="M101" s="1" t="s">
        <v>40</v>
      </c>
      <c r="N101" s="3"/>
      <c r="O101" s="3"/>
      <c r="P101">
        <v>0</v>
      </c>
      <c r="Q101" t="str">
        <f>_xlfn.XLOOKUP(A101, patients!A:A, patients!B:B)</f>
        <v>M</v>
      </c>
      <c r="R101">
        <f>_xlfn.XLOOKUP(A101, patients!A:A, patients!C:C)</f>
        <v>69</v>
      </c>
      <c r="S101" t="str">
        <f t="shared" si="1"/>
        <v>50-70</v>
      </c>
      <c r="T101" s="1" t="str">
        <f>_xlfn.XLOOKUP(B101, diagnoses_icd!B:B, diagnoses_icd!D:D)</f>
        <v>E8497</v>
      </c>
    </row>
    <row r="102" spans="1:20" x14ac:dyDescent="0.2">
      <c r="A102">
        <v>10022041</v>
      </c>
      <c r="B102">
        <v>28909879</v>
      </c>
      <c r="C102" s="3">
        <v>104964.71388888889</v>
      </c>
      <c r="D102" s="3">
        <v>104969.72222222222</v>
      </c>
      <c r="E102" s="3"/>
      <c r="F102" s="1" t="s">
        <v>96</v>
      </c>
      <c r="G102" s="1" t="s">
        <v>136</v>
      </c>
      <c r="H102" s="1" t="s">
        <v>97</v>
      </c>
      <c r="I102" s="1" t="s">
        <v>34</v>
      </c>
      <c r="J102" s="1" t="s">
        <v>39</v>
      </c>
      <c r="K102" s="1" t="s">
        <v>30</v>
      </c>
      <c r="L102" s="1" t="s">
        <v>36</v>
      </c>
      <c r="M102" s="1" t="s">
        <v>53</v>
      </c>
      <c r="N102" s="3">
        <v>104964.62430555555</v>
      </c>
      <c r="O102" s="3">
        <v>104964.77708333333</v>
      </c>
      <c r="P102">
        <v>0</v>
      </c>
      <c r="Q102" t="str">
        <f>_xlfn.XLOOKUP(A102, patients!A:A, patients!B:B)</f>
        <v>M</v>
      </c>
      <c r="R102">
        <f>_xlfn.XLOOKUP(A102, patients!A:A, patients!C:C)</f>
        <v>64</v>
      </c>
      <c r="S102" t="str">
        <f t="shared" si="1"/>
        <v>50-70</v>
      </c>
      <c r="T102" s="1" t="str">
        <f>_xlfn.XLOOKUP(B102, diagnoses_icd!B:B, diagnoses_icd!D:D)</f>
        <v>7245</v>
      </c>
    </row>
    <row r="103" spans="1:20" x14ac:dyDescent="0.2">
      <c r="A103">
        <v>10039708</v>
      </c>
      <c r="B103">
        <v>20572787</v>
      </c>
      <c r="C103" s="3">
        <v>87232.979166666672</v>
      </c>
      <c r="D103" s="3">
        <v>87239.979166666672</v>
      </c>
      <c r="E103" s="3"/>
      <c r="F103" s="1" t="s">
        <v>96</v>
      </c>
      <c r="G103" s="1" t="s">
        <v>137</v>
      </c>
      <c r="H103" s="1" t="s">
        <v>97</v>
      </c>
      <c r="I103" s="1" t="s">
        <v>138</v>
      </c>
      <c r="J103" s="1" t="s">
        <v>47</v>
      </c>
      <c r="K103" s="1" t="s">
        <v>30</v>
      </c>
      <c r="L103" s="1" t="s">
        <v>31</v>
      </c>
      <c r="M103" s="1" t="s">
        <v>62</v>
      </c>
      <c r="N103" s="3">
        <v>87232.727083333331</v>
      </c>
      <c r="O103" s="3">
        <v>87233.013194444444</v>
      </c>
      <c r="P103">
        <v>0</v>
      </c>
      <c r="Q103" t="str">
        <f>_xlfn.XLOOKUP(A103, patients!A:A, patients!B:B)</f>
        <v>F</v>
      </c>
      <c r="R103">
        <f>_xlfn.XLOOKUP(A103, patients!A:A, patients!C:C)</f>
        <v>46</v>
      </c>
      <c r="S103" t="str">
        <f t="shared" si="1"/>
        <v>30-50</v>
      </c>
      <c r="T103" s="1" t="str">
        <f>_xlfn.XLOOKUP(B103, diagnoses_icd!B:B, diagnoses_icd!D:D)</f>
        <v>2449</v>
      </c>
    </row>
    <row r="104" spans="1:20" x14ac:dyDescent="0.2">
      <c r="A104">
        <v>10039708</v>
      </c>
      <c r="B104">
        <v>28258130</v>
      </c>
      <c r="C104" s="3">
        <v>87682.679861111115</v>
      </c>
      <c r="D104" s="3">
        <v>87716.760416666672</v>
      </c>
      <c r="E104" s="3"/>
      <c r="F104" s="1" t="s">
        <v>96</v>
      </c>
      <c r="G104" s="1" t="s">
        <v>60</v>
      </c>
      <c r="H104" s="1" t="s">
        <v>97</v>
      </c>
      <c r="I104" s="1" t="s">
        <v>73</v>
      </c>
      <c r="J104" s="1" t="s">
        <v>47</v>
      </c>
      <c r="K104" s="1" t="s">
        <v>30</v>
      </c>
      <c r="L104" s="1" t="s">
        <v>31</v>
      </c>
      <c r="M104" s="1" t="s">
        <v>62</v>
      </c>
      <c r="N104" s="3">
        <v>87682.524305555562</v>
      </c>
      <c r="O104" s="3">
        <v>87682.755555555559</v>
      </c>
      <c r="P104">
        <v>0</v>
      </c>
      <c r="Q104" t="str">
        <f>_xlfn.XLOOKUP(A104, patients!A:A, patients!B:B)</f>
        <v>F</v>
      </c>
      <c r="R104">
        <f>_xlfn.XLOOKUP(A104, patients!A:A, patients!C:C)</f>
        <v>46</v>
      </c>
      <c r="S104" t="str">
        <f t="shared" si="1"/>
        <v>30-50</v>
      </c>
      <c r="T104" s="1" t="str">
        <f>_xlfn.XLOOKUP(B104, diagnoses_icd!B:B, diagnoses_icd!D:D)</f>
        <v>D649</v>
      </c>
    </row>
    <row r="105" spans="1:20" x14ac:dyDescent="0.2">
      <c r="A105">
        <v>10000032</v>
      </c>
      <c r="B105">
        <v>22841357</v>
      </c>
      <c r="C105" s="3">
        <v>102447.76875</v>
      </c>
      <c r="D105" s="3">
        <v>102448.78402777777</v>
      </c>
      <c r="E105" s="3"/>
      <c r="F105" s="1" t="s">
        <v>96</v>
      </c>
      <c r="G105" s="1" t="s">
        <v>139</v>
      </c>
      <c r="H105" s="1" t="s">
        <v>97</v>
      </c>
      <c r="I105" s="1" t="s">
        <v>46</v>
      </c>
      <c r="J105" s="1" t="s">
        <v>29</v>
      </c>
      <c r="K105" s="1" t="s">
        <v>30</v>
      </c>
      <c r="L105" s="1" t="s">
        <v>48</v>
      </c>
      <c r="M105" s="1" t="s">
        <v>40</v>
      </c>
      <c r="N105" s="3">
        <v>102447.66250000001</v>
      </c>
      <c r="O105" s="3">
        <v>102447.89652777778</v>
      </c>
      <c r="P105">
        <v>0</v>
      </c>
      <c r="Q105" t="str">
        <f>_xlfn.XLOOKUP(A105, patients!A:A, patients!B:B)</f>
        <v>F</v>
      </c>
      <c r="R105">
        <f>_xlfn.XLOOKUP(A105, patients!A:A, patients!C:C)</f>
        <v>52</v>
      </c>
      <c r="S105" t="str">
        <f t="shared" si="1"/>
        <v>50-70</v>
      </c>
      <c r="T105" s="1" t="str">
        <f>_xlfn.XLOOKUP(B105, diagnoses_icd!B:B, diagnoses_icd!D:D)</f>
        <v>2761</v>
      </c>
    </row>
    <row r="106" spans="1:20" x14ac:dyDescent="0.2">
      <c r="A106">
        <v>10000032</v>
      </c>
      <c r="B106">
        <v>25742920</v>
      </c>
      <c r="C106" s="3">
        <v>102487.98888888888</v>
      </c>
      <c r="D106" s="3">
        <v>102489.74305555556</v>
      </c>
      <c r="E106" s="3"/>
      <c r="F106" s="1" t="s">
        <v>96</v>
      </c>
      <c r="G106" s="1" t="s">
        <v>140</v>
      </c>
      <c r="H106" s="1" t="s">
        <v>97</v>
      </c>
      <c r="I106" s="1" t="s">
        <v>111</v>
      </c>
      <c r="J106" s="1" t="s">
        <v>29</v>
      </c>
      <c r="K106" s="1" t="s">
        <v>30</v>
      </c>
      <c r="L106" s="1" t="s">
        <v>48</v>
      </c>
      <c r="M106" s="1" t="s">
        <v>40</v>
      </c>
      <c r="N106" s="3">
        <v>102487.87361111111</v>
      </c>
      <c r="O106" s="3">
        <v>102488.07222222222</v>
      </c>
      <c r="P106">
        <v>0</v>
      </c>
      <c r="Q106" t="str">
        <f>_xlfn.XLOOKUP(A106, patients!A:A, patients!B:B)</f>
        <v>F</v>
      </c>
      <c r="R106">
        <f>_xlfn.XLOOKUP(A106, patients!A:A, patients!C:C)</f>
        <v>52</v>
      </c>
      <c r="S106" t="str">
        <f t="shared" si="1"/>
        <v>50-70</v>
      </c>
      <c r="T106" s="1" t="str">
        <f>_xlfn.XLOOKUP(B106, diagnoses_icd!B:B, diagnoses_icd!D:D)</f>
        <v>3051</v>
      </c>
    </row>
    <row r="107" spans="1:20" x14ac:dyDescent="0.2">
      <c r="A107">
        <v>10000032</v>
      </c>
      <c r="B107">
        <v>29079034</v>
      </c>
      <c r="C107" s="3">
        <v>102474.52430555556</v>
      </c>
      <c r="D107" s="3">
        <v>102476.74652777778</v>
      </c>
      <c r="E107" s="3"/>
      <c r="F107" s="1" t="s">
        <v>96</v>
      </c>
      <c r="G107" s="1" t="s">
        <v>141</v>
      </c>
      <c r="H107" s="1" t="s">
        <v>97</v>
      </c>
      <c r="I107" s="1" t="s">
        <v>46</v>
      </c>
      <c r="J107" s="1" t="s">
        <v>29</v>
      </c>
      <c r="K107" s="1" t="s">
        <v>30</v>
      </c>
      <c r="L107" s="1" t="s">
        <v>48</v>
      </c>
      <c r="M107" s="1" t="s">
        <v>40</v>
      </c>
      <c r="N107" s="3">
        <v>102474.24583333333</v>
      </c>
      <c r="O107" s="3">
        <v>102474.58333333333</v>
      </c>
      <c r="P107">
        <v>0</v>
      </c>
      <c r="Q107" t="str">
        <f>_xlfn.XLOOKUP(A107, patients!A:A, patients!B:B)</f>
        <v>F</v>
      </c>
      <c r="R107">
        <f>_xlfn.XLOOKUP(A107, patients!A:A, patients!C:C)</f>
        <v>52</v>
      </c>
      <c r="S107" t="str">
        <f t="shared" si="1"/>
        <v>50-70</v>
      </c>
      <c r="T107" s="1" t="str">
        <f>_xlfn.XLOOKUP(B107, diagnoses_icd!B:B, diagnoses_icd!D:D)</f>
        <v>29680</v>
      </c>
    </row>
    <row r="108" spans="1:20" x14ac:dyDescent="0.2">
      <c r="A108">
        <v>10026406</v>
      </c>
      <c r="B108">
        <v>25260176</v>
      </c>
      <c r="C108" s="3">
        <v>83645.663194444438</v>
      </c>
      <c r="D108" s="3">
        <v>83647.590277777781</v>
      </c>
      <c r="E108" s="3"/>
      <c r="F108" s="1" t="s">
        <v>96</v>
      </c>
      <c r="G108" s="1" t="s">
        <v>142</v>
      </c>
      <c r="H108" s="1" t="s">
        <v>97</v>
      </c>
      <c r="I108" s="1" t="s">
        <v>138</v>
      </c>
      <c r="J108" s="1" t="s">
        <v>47</v>
      </c>
      <c r="K108" s="1" t="s">
        <v>30</v>
      </c>
      <c r="L108" s="1" t="s">
        <v>91</v>
      </c>
      <c r="M108" s="1" t="s">
        <v>40</v>
      </c>
      <c r="N108" s="3">
        <v>83644.986805555556</v>
      </c>
      <c r="O108" s="3">
        <v>83645.772916666669</v>
      </c>
      <c r="P108">
        <v>0</v>
      </c>
      <c r="Q108" t="str">
        <f>_xlfn.XLOOKUP(A108, patients!A:A, patients!B:B)</f>
        <v>M</v>
      </c>
      <c r="R108">
        <f>_xlfn.XLOOKUP(A108, patients!A:A, patients!C:C)</f>
        <v>45</v>
      </c>
      <c r="S108" t="str">
        <f t="shared" si="1"/>
        <v>30-50</v>
      </c>
      <c r="T108" s="1" t="str">
        <f>_xlfn.XLOOKUP(B108, diagnoses_icd!B:B, diagnoses_icd!D:D)</f>
        <v>E8499</v>
      </c>
    </row>
    <row r="109" spans="1:20" x14ac:dyDescent="0.2">
      <c r="A109">
        <v>10037928</v>
      </c>
      <c r="B109">
        <v>22326517</v>
      </c>
      <c r="C109" s="3">
        <v>101529.86597222222</v>
      </c>
      <c r="D109" s="3">
        <v>101531.73958333333</v>
      </c>
      <c r="E109" s="3"/>
      <c r="F109" s="1" t="s">
        <v>96</v>
      </c>
      <c r="G109" s="1" t="s">
        <v>142</v>
      </c>
      <c r="H109" s="1" t="s">
        <v>97</v>
      </c>
      <c r="I109" s="1" t="s">
        <v>34</v>
      </c>
      <c r="J109" s="1" t="s">
        <v>39</v>
      </c>
      <c r="K109" s="1" t="s">
        <v>35</v>
      </c>
      <c r="L109" s="1" t="s">
        <v>48</v>
      </c>
      <c r="M109" s="1" t="s">
        <v>143</v>
      </c>
      <c r="N109" s="3">
        <v>101529.70069444444</v>
      </c>
      <c r="O109" s="3">
        <v>101529.93472222223</v>
      </c>
      <c r="P109">
        <v>0</v>
      </c>
      <c r="Q109" t="str">
        <f>_xlfn.XLOOKUP(A109, patients!A:A, patients!B:B)</f>
        <v>F</v>
      </c>
      <c r="R109">
        <f>_xlfn.XLOOKUP(A109, patients!A:A, patients!C:C)</f>
        <v>78</v>
      </c>
      <c r="S109" t="str">
        <f t="shared" si="1"/>
        <v>70+</v>
      </c>
      <c r="T109" s="1" t="str">
        <f>_xlfn.XLOOKUP(B109, diagnoses_icd!B:B, diagnoses_icd!D:D)</f>
        <v>30000</v>
      </c>
    </row>
    <row r="110" spans="1:20" x14ac:dyDescent="0.2">
      <c r="A110">
        <v>10037928</v>
      </c>
      <c r="B110">
        <v>22490490</v>
      </c>
      <c r="C110" s="3">
        <v>101369.70486111111</v>
      </c>
      <c r="D110" s="3">
        <v>101379.56458333334</v>
      </c>
      <c r="E110" s="3"/>
      <c r="F110" s="1" t="s">
        <v>96</v>
      </c>
      <c r="G110" s="1" t="s">
        <v>60</v>
      </c>
      <c r="H110" s="1" t="s">
        <v>97</v>
      </c>
      <c r="I110" s="1" t="s">
        <v>34</v>
      </c>
      <c r="J110" s="1" t="s">
        <v>39</v>
      </c>
      <c r="K110" s="1" t="s">
        <v>35</v>
      </c>
      <c r="L110" s="1" t="s">
        <v>48</v>
      </c>
      <c r="M110" s="1" t="s">
        <v>143</v>
      </c>
      <c r="N110" s="3">
        <v>101369.61944444444</v>
      </c>
      <c r="O110" s="3">
        <v>101369.85972222222</v>
      </c>
      <c r="P110">
        <v>0</v>
      </c>
      <c r="Q110" t="str">
        <f>_xlfn.XLOOKUP(A110, patients!A:A, patients!B:B)</f>
        <v>F</v>
      </c>
      <c r="R110">
        <f>_xlfn.XLOOKUP(A110, patients!A:A, patients!C:C)</f>
        <v>78</v>
      </c>
      <c r="S110" t="str">
        <f t="shared" si="1"/>
        <v>70+</v>
      </c>
      <c r="T110" s="1" t="str">
        <f>_xlfn.XLOOKUP(B110, diagnoses_icd!B:B, diagnoses_icd!D:D)</f>
        <v>5853</v>
      </c>
    </row>
    <row r="111" spans="1:20" x14ac:dyDescent="0.2">
      <c r="A111">
        <v>10037928</v>
      </c>
      <c r="B111">
        <v>20192635</v>
      </c>
      <c r="C111" s="3">
        <v>101421.50347222222</v>
      </c>
      <c r="D111" s="3">
        <v>101424.67361111111</v>
      </c>
      <c r="E111" s="3"/>
      <c r="F111" s="1" t="s">
        <v>96</v>
      </c>
      <c r="G111" s="1" t="s">
        <v>144</v>
      </c>
      <c r="H111" s="1" t="s">
        <v>97</v>
      </c>
      <c r="I111" s="1" t="s">
        <v>34</v>
      </c>
      <c r="J111" s="1" t="s">
        <v>39</v>
      </c>
      <c r="K111" s="1" t="s">
        <v>35</v>
      </c>
      <c r="L111" s="1" t="s">
        <v>48</v>
      </c>
      <c r="M111" s="1" t="s">
        <v>143</v>
      </c>
      <c r="N111" s="3">
        <v>101421.27013888888</v>
      </c>
      <c r="O111" s="3">
        <v>101421.61388888888</v>
      </c>
      <c r="P111">
        <v>0</v>
      </c>
      <c r="Q111" t="str">
        <f>_xlfn.XLOOKUP(A111, patients!A:A, patients!B:B)</f>
        <v>F</v>
      </c>
      <c r="R111">
        <f>_xlfn.XLOOKUP(A111, patients!A:A, patients!C:C)</f>
        <v>78</v>
      </c>
      <c r="S111" t="str">
        <f t="shared" si="1"/>
        <v>70+</v>
      </c>
      <c r="T111" s="1" t="str">
        <f>_xlfn.XLOOKUP(B111, diagnoses_icd!B:B, diagnoses_icd!D:D)</f>
        <v>25080</v>
      </c>
    </row>
    <row r="112" spans="1:20" x14ac:dyDescent="0.2">
      <c r="A112">
        <v>10037928</v>
      </c>
      <c r="B112">
        <v>29802992</v>
      </c>
      <c r="C112" s="3">
        <v>102110.00416666667</v>
      </c>
      <c r="D112" s="3">
        <v>102113.66250000001</v>
      </c>
      <c r="E112" s="3"/>
      <c r="F112" s="1" t="s">
        <v>96</v>
      </c>
      <c r="G112" s="1" t="s">
        <v>145</v>
      </c>
      <c r="H112" s="1" t="s">
        <v>97</v>
      </c>
      <c r="I112" s="1" t="s">
        <v>34</v>
      </c>
      <c r="J112" s="1" t="s">
        <v>39</v>
      </c>
      <c r="K112" s="1" t="s">
        <v>35</v>
      </c>
      <c r="L112" s="1" t="s">
        <v>48</v>
      </c>
      <c r="M112" s="1" t="s">
        <v>143</v>
      </c>
      <c r="N112" s="3">
        <v>102109.76458333334</v>
      </c>
      <c r="O112" s="3">
        <v>102110.05347222222</v>
      </c>
      <c r="P112">
        <v>0</v>
      </c>
      <c r="Q112" t="str">
        <f>_xlfn.XLOOKUP(A112, patients!A:A, patients!B:B)</f>
        <v>F</v>
      </c>
      <c r="R112">
        <f>_xlfn.XLOOKUP(A112, patients!A:A, patients!C:C)</f>
        <v>78</v>
      </c>
      <c r="S112" t="str">
        <f t="shared" si="1"/>
        <v>70+</v>
      </c>
      <c r="T112" s="1" t="str">
        <f>_xlfn.XLOOKUP(B112, diagnoses_icd!B:B, diagnoses_icd!D:D)</f>
        <v>5990</v>
      </c>
    </row>
    <row r="113" spans="1:20" x14ac:dyDescent="0.2">
      <c r="A113">
        <v>10037928</v>
      </c>
      <c r="B113">
        <v>23721604</v>
      </c>
      <c r="C113" s="3">
        <v>101990.76875</v>
      </c>
      <c r="D113" s="3">
        <v>101998.81944444444</v>
      </c>
      <c r="E113" s="3"/>
      <c r="F113" s="1" t="s">
        <v>96</v>
      </c>
      <c r="G113" s="1" t="s">
        <v>146</v>
      </c>
      <c r="H113" s="1" t="s">
        <v>97</v>
      </c>
      <c r="I113" s="1" t="s">
        <v>34</v>
      </c>
      <c r="J113" s="1" t="s">
        <v>39</v>
      </c>
      <c r="K113" s="1" t="s">
        <v>35</v>
      </c>
      <c r="L113" s="1" t="s">
        <v>48</v>
      </c>
      <c r="M113" s="1" t="s">
        <v>143</v>
      </c>
      <c r="N113" s="3">
        <v>101990.59375</v>
      </c>
      <c r="O113" s="3">
        <v>101990.825</v>
      </c>
      <c r="P113">
        <v>0</v>
      </c>
      <c r="Q113" t="str">
        <f>_xlfn.XLOOKUP(A113, patients!A:A, patients!B:B)</f>
        <v>F</v>
      </c>
      <c r="R113">
        <f>_xlfn.XLOOKUP(A113, patients!A:A, patients!C:C)</f>
        <v>78</v>
      </c>
      <c r="S113" t="str">
        <f t="shared" si="1"/>
        <v>70+</v>
      </c>
      <c r="T113" s="1" t="str">
        <f>_xlfn.XLOOKUP(B113, diagnoses_icd!B:B, diagnoses_icd!D:D)</f>
        <v>78052</v>
      </c>
    </row>
    <row r="114" spans="1:20" x14ac:dyDescent="0.2">
      <c r="A114">
        <v>10037928</v>
      </c>
      <c r="B114">
        <v>24225421</v>
      </c>
      <c r="C114" s="3">
        <v>101810.96180555556</v>
      </c>
      <c r="D114" s="3">
        <v>101814.71736111111</v>
      </c>
      <c r="E114" s="3"/>
      <c r="F114" s="1" t="s">
        <v>96</v>
      </c>
      <c r="G114" s="1" t="s">
        <v>147</v>
      </c>
      <c r="H114" s="1" t="s">
        <v>97</v>
      </c>
      <c r="I114" s="1" t="s">
        <v>46</v>
      </c>
      <c r="J114" s="1" t="s">
        <v>39</v>
      </c>
      <c r="K114" s="1" t="s">
        <v>35</v>
      </c>
      <c r="L114" s="1" t="s">
        <v>48</v>
      </c>
      <c r="M114" s="1" t="s">
        <v>143</v>
      </c>
      <c r="N114" s="3">
        <v>101810.85347222222</v>
      </c>
      <c r="O114" s="3">
        <v>101811.02986111111</v>
      </c>
      <c r="P114">
        <v>0</v>
      </c>
      <c r="Q114" t="str">
        <f>_xlfn.XLOOKUP(A114, patients!A:A, patients!B:B)</f>
        <v>F</v>
      </c>
      <c r="R114">
        <f>_xlfn.XLOOKUP(A114, patients!A:A, patients!C:C)</f>
        <v>78</v>
      </c>
      <c r="S114" t="str">
        <f t="shared" si="1"/>
        <v>70+</v>
      </c>
      <c r="T114" s="1" t="str">
        <f>_xlfn.XLOOKUP(B114, diagnoses_icd!B:B, diagnoses_icd!D:D)</f>
        <v>04149</v>
      </c>
    </row>
    <row r="115" spans="1:20" x14ac:dyDescent="0.2">
      <c r="A115">
        <v>10037928</v>
      </c>
      <c r="B115">
        <v>24656677</v>
      </c>
      <c r="C115" s="3">
        <v>101894.22916666667</v>
      </c>
      <c r="D115" s="3">
        <v>101899.77430555556</v>
      </c>
      <c r="E115" s="3"/>
      <c r="F115" s="1" t="s">
        <v>96</v>
      </c>
      <c r="G115" s="1" t="s">
        <v>148</v>
      </c>
      <c r="H115" s="1" t="s">
        <v>97</v>
      </c>
      <c r="I115" s="1" t="s">
        <v>34</v>
      </c>
      <c r="J115" s="1" t="s">
        <v>39</v>
      </c>
      <c r="K115" s="1" t="s">
        <v>35</v>
      </c>
      <c r="L115" s="1" t="s">
        <v>48</v>
      </c>
      <c r="M115" s="1" t="s">
        <v>143</v>
      </c>
      <c r="N115" s="3">
        <v>101894.13680555555</v>
      </c>
      <c r="O115" s="3">
        <v>101894.35208333333</v>
      </c>
      <c r="P115">
        <v>0</v>
      </c>
      <c r="Q115" t="str">
        <f>_xlfn.XLOOKUP(A115, patients!A:A, patients!B:B)</f>
        <v>F</v>
      </c>
      <c r="R115">
        <f>_xlfn.XLOOKUP(A115, patients!A:A, patients!C:C)</f>
        <v>78</v>
      </c>
      <c r="S115" t="str">
        <f t="shared" si="1"/>
        <v>70+</v>
      </c>
      <c r="T115" s="1" t="str">
        <f>_xlfn.XLOOKUP(B115, diagnoses_icd!B:B, diagnoses_icd!D:D)</f>
        <v>53081</v>
      </c>
    </row>
    <row r="116" spans="1:20" x14ac:dyDescent="0.2">
      <c r="A116">
        <v>10029484</v>
      </c>
      <c r="B116">
        <v>20764029</v>
      </c>
      <c r="C116" s="3">
        <v>95277.177777777775</v>
      </c>
      <c r="D116" s="3">
        <v>95280.486111111109</v>
      </c>
      <c r="E116" s="3"/>
      <c r="F116" s="1" t="s">
        <v>96</v>
      </c>
      <c r="G116" s="1" t="s">
        <v>41</v>
      </c>
      <c r="H116" s="1" t="s">
        <v>97</v>
      </c>
      <c r="I116" s="1" t="s">
        <v>46</v>
      </c>
      <c r="J116" s="1" t="s">
        <v>47</v>
      </c>
      <c r="K116" s="1" t="s">
        <v>30</v>
      </c>
      <c r="L116" s="1" t="s">
        <v>31</v>
      </c>
      <c r="M116" s="1" t="s">
        <v>40</v>
      </c>
      <c r="N116" s="3">
        <v>95276.802083333328</v>
      </c>
      <c r="O116" s="3">
        <v>95277.224305555559</v>
      </c>
      <c r="P116">
        <v>0</v>
      </c>
      <c r="Q116" t="str">
        <f>_xlfn.XLOOKUP(A116, patients!A:A, patients!B:B)</f>
        <v>M</v>
      </c>
      <c r="R116">
        <f>_xlfn.XLOOKUP(A116, patients!A:A, patients!C:C)</f>
        <v>64</v>
      </c>
      <c r="S116" t="str">
        <f t="shared" si="1"/>
        <v>50-70</v>
      </c>
      <c r="T116" s="1" t="str">
        <f>_xlfn.XLOOKUP(B116, diagnoses_icd!B:B, diagnoses_icd!D:D)</f>
        <v>41400</v>
      </c>
    </row>
    <row r="117" spans="1:20" x14ac:dyDescent="0.2">
      <c r="A117">
        <v>10027445</v>
      </c>
      <c r="B117">
        <v>26275841</v>
      </c>
      <c r="C117" s="3">
        <v>88602.022222222222</v>
      </c>
      <c r="D117" s="3">
        <v>88611.729166666672</v>
      </c>
      <c r="E117" s="3"/>
      <c r="F117" s="1" t="s">
        <v>96</v>
      </c>
      <c r="G117" s="1" t="s">
        <v>52</v>
      </c>
      <c r="H117" s="1" t="s">
        <v>97</v>
      </c>
      <c r="I117" s="1" t="s">
        <v>34</v>
      </c>
      <c r="J117" s="1" t="s">
        <v>47</v>
      </c>
      <c r="K117" s="1" t="s">
        <v>30</v>
      </c>
      <c r="L117" s="1" t="s">
        <v>48</v>
      </c>
      <c r="M117" s="1" t="s">
        <v>40</v>
      </c>
      <c r="N117" s="3">
        <v>88601.981249999997</v>
      </c>
      <c r="O117" s="3">
        <v>88602.070138888885</v>
      </c>
      <c r="P117">
        <v>0</v>
      </c>
      <c r="Q117" t="str">
        <f>_xlfn.XLOOKUP(A117, patients!A:A, patients!B:B)</f>
        <v>F</v>
      </c>
      <c r="R117">
        <f>_xlfn.XLOOKUP(A117, patients!A:A, patients!C:C)</f>
        <v>48</v>
      </c>
      <c r="S117" t="str">
        <f t="shared" si="1"/>
        <v>30-50</v>
      </c>
      <c r="T117" s="1" t="str">
        <f>_xlfn.XLOOKUP(B117, diagnoses_icd!B:B, diagnoses_icd!D:D)</f>
        <v>51881</v>
      </c>
    </row>
    <row r="118" spans="1:20" x14ac:dyDescent="0.2">
      <c r="A118">
        <v>10012853</v>
      </c>
      <c r="B118">
        <v>22539296</v>
      </c>
      <c r="C118" s="3">
        <v>100966.75625000001</v>
      </c>
      <c r="D118" s="3">
        <v>100968.77083333333</v>
      </c>
      <c r="E118" s="3"/>
      <c r="F118" s="1" t="s">
        <v>96</v>
      </c>
      <c r="G118" s="1" t="s">
        <v>79</v>
      </c>
      <c r="H118" s="1" t="s">
        <v>97</v>
      </c>
      <c r="I118" s="1" t="s">
        <v>46</v>
      </c>
      <c r="J118" s="1" t="s">
        <v>39</v>
      </c>
      <c r="K118" s="1" t="s">
        <v>30</v>
      </c>
      <c r="L118" s="1" t="s">
        <v>48</v>
      </c>
      <c r="M118" s="1" t="s">
        <v>62</v>
      </c>
      <c r="N118" s="3">
        <v>100966.56458333334</v>
      </c>
      <c r="O118" s="3">
        <v>100966.84583333334</v>
      </c>
      <c r="P118">
        <v>0</v>
      </c>
      <c r="Q118" t="str">
        <f>_xlfn.XLOOKUP(A118, patients!A:A, patients!B:B)</f>
        <v>F</v>
      </c>
      <c r="R118">
        <f>_xlfn.XLOOKUP(A118, patients!A:A, patients!C:C)</f>
        <v>91</v>
      </c>
      <c r="S118" t="str">
        <f t="shared" si="1"/>
        <v>70+</v>
      </c>
      <c r="T118" s="1" t="str">
        <f>_xlfn.XLOOKUP(B118, diagnoses_icd!B:B, diagnoses_icd!D:D)</f>
        <v>5853</v>
      </c>
    </row>
    <row r="119" spans="1:20" x14ac:dyDescent="0.2">
      <c r="A119">
        <v>10012853</v>
      </c>
      <c r="B119">
        <v>26369609</v>
      </c>
      <c r="C119" s="3">
        <v>100538.65</v>
      </c>
      <c r="D119" s="3">
        <v>100543.70486111111</v>
      </c>
      <c r="E119" s="3"/>
      <c r="F119" s="1" t="s">
        <v>96</v>
      </c>
      <c r="G119" s="1" t="s">
        <v>149</v>
      </c>
      <c r="H119" s="1" t="s">
        <v>97</v>
      </c>
      <c r="I119" s="1" t="s">
        <v>46</v>
      </c>
      <c r="J119" s="1" t="s">
        <v>47</v>
      </c>
      <c r="K119" s="1" t="s">
        <v>30</v>
      </c>
      <c r="L119" s="1" t="s">
        <v>48</v>
      </c>
      <c r="M119" s="1" t="s">
        <v>62</v>
      </c>
      <c r="N119" s="3">
        <v>100538.26527777778</v>
      </c>
      <c r="O119" s="3">
        <v>100538.71527777778</v>
      </c>
      <c r="P119">
        <v>0</v>
      </c>
      <c r="Q119" t="str">
        <f>_xlfn.XLOOKUP(A119, patients!A:A, patients!B:B)</f>
        <v>F</v>
      </c>
      <c r="R119">
        <f>_xlfn.XLOOKUP(A119, patients!A:A, patients!C:C)</f>
        <v>91</v>
      </c>
      <c r="S119" t="str">
        <f t="shared" si="1"/>
        <v>70+</v>
      </c>
      <c r="T119" s="1" t="str">
        <f>_xlfn.XLOOKUP(B119, diagnoses_icd!B:B, diagnoses_icd!D:D)</f>
        <v>4280</v>
      </c>
    </row>
    <row r="120" spans="1:20" x14ac:dyDescent="0.2">
      <c r="A120">
        <v>10012853</v>
      </c>
      <c r="B120">
        <v>27882036</v>
      </c>
      <c r="C120" s="3">
        <v>101138.89444444445</v>
      </c>
      <c r="D120" s="3">
        <v>101146.64166666666</v>
      </c>
      <c r="E120" s="3"/>
      <c r="F120" s="1" t="s">
        <v>96</v>
      </c>
      <c r="G120" s="1" t="s">
        <v>145</v>
      </c>
      <c r="H120" s="1" t="s">
        <v>97</v>
      </c>
      <c r="I120" s="1" t="s">
        <v>28</v>
      </c>
      <c r="J120" s="1" t="s">
        <v>39</v>
      </c>
      <c r="K120" s="1" t="s">
        <v>30</v>
      </c>
      <c r="L120" s="1" t="s">
        <v>48</v>
      </c>
      <c r="M120" s="1" t="s">
        <v>62</v>
      </c>
      <c r="N120" s="3">
        <v>101138.77361111112</v>
      </c>
      <c r="O120" s="3">
        <v>101138.99374999999</v>
      </c>
      <c r="P120">
        <v>0</v>
      </c>
      <c r="Q120" t="str">
        <f>_xlfn.XLOOKUP(A120, patients!A:A, patients!B:B)</f>
        <v>F</v>
      </c>
      <c r="R120">
        <f>_xlfn.XLOOKUP(A120, patients!A:A, patients!C:C)</f>
        <v>91</v>
      </c>
      <c r="S120" t="str">
        <f t="shared" si="1"/>
        <v>70+</v>
      </c>
      <c r="T120" s="1" t="str">
        <f>_xlfn.XLOOKUP(B120, diagnoses_icd!B:B, diagnoses_icd!D:D)</f>
        <v>J398</v>
      </c>
    </row>
    <row r="121" spans="1:20" x14ac:dyDescent="0.2">
      <c r="A121">
        <v>10019003</v>
      </c>
      <c r="B121">
        <v>29279905</v>
      </c>
      <c r="C121" s="3">
        <v>92494.975694444438</v>
      </c>
      <c r="D121" s="3">
        <v>92505.680555555562</v>
      </c>
      <c r="E121" s="3"/>
      <c r="F121" s="1" t="s">
        <v>96</v>
      </c>
      <c r="G121" s="1" t="s">
        <v>150</v>
      </c>
      <c r="H121" s="1" t="s">
        <v>97</v>
      </c>
      <c r="I121" s="1" t="s">
        <v>34</v>
      </c>
      <c r="J121" s="1" t="s">
        <v>47</v>
      </c>
      <c r="K121" s="1" t="s">
        <v>30</v>
      </c>
      <c r="L121" s="1" t="s">
        <v>48</v>
      </c>
      <c r="M121" s="1" t="s">
        <v>40</v>
      </c>
      <c r="N121" s="3">
        <v>92494.89444444445</v>
      </c>
      <c r="O121" s="3">
        <v>92495.097916666666</v>
      </c>
      <c r="P121">
        <v>0</v>
      </c>
      <c r="Q121" t="str">
        <f>_xlfn.XLOOKUP(A121, patients!A:A, patients!B:B)</f>
        <v>F</v>
      </c>
      <c r="R121">
        <f>_xlfn.XLOOKUP(A121, patients!A:A, patients!C:C)</f>
        <v>65</v>
      </c>
      <c r="S121" t="str">
        <f t="shared" si="1"/>
        <v>50-70</v>
      </c>
      <c r="T121" s="1" t="str">
        <f>_xlfn.XLOOKUP(B121, diagnoses_icd!B:B, diagnoses_icd!D:D)</f>
        <v>K259</v>
      </c>
    </row>
    <row r="122" spans="1:20" x14ac:dyDescent="0.2">
      <c r="A122">
        <v>10019003</v>
      </c>
      <c r="B122">
        <v>21457723</v>
      </c>
      <c r="C122" s="3">
        <v>93329.741666666669</v>
      </c>
      <c r="D122" s="3">
        <v>93337.707638888882</v>
      </c>
      <c r="E122" s="3"/>
      <c r="F122" s="1" t="s">
        <v>96</v>
      </c>
      <c r="G122" s="1" t="s">
        <v>60</v>
      </c>
      <c r="H122" s="1" t="s">
        <v>27</v>
      </c>
      <c r="I122" s="1" t="s">
        <v>46</v>
      </c>
      <c r="J122" s="1" t="s">
        <v>47</v>
      </c>
      <c r="K122" s="1" t="s">
        <v>30</v>
      </c>
      <c r="L122" s="1" t="s">
        <v>48</v>
      </c>
      <c r="M122" s="1" t="s">
        <v>40</v>
      </c>
      <c r="N122" s="3">
        <v>93329.531944444447</v>
      </c>
      <c r="O122" s="3">
        <v>93329.793749999997</v>
      </c>
      <c r="P122">
        <v>0</v>
      </c>
      <c r="Q122" t="str">
        <f>_xlfn.XLOOKUP(A122, patients!A:A, patients!B:B)</f>
        <v>F</v>
      </c>
      <c r="R122">
        <f>_xlfn.XLOOKUP(A122, patients!A:A, patients!C:C)</f>
        <v>65</v>
      </c>
      <c r="S122" t="str">
        <f t="shared" si="1"/>
        <v>50-70</v>
      </c>
      <c r="T122" s="1" t="str">
        <f>_xlfn.XLOOKUP(B122, diagnoses_icd!B:B, diagnoses_icd!D:D)</f>
        <v>D61818</v>
      </c>
    </row>
    <row r="123" spans="1:20" x14ac:dyDescent="0.2">
      <c r="A123">
        <v>10019003</v>
      </c>
      <c r="B123">
        <v>27525946</v>
      </c>
      <c r="C123" s="3">
        <v>92510.796527777784</v>
      </c>
      <c r="D123" s="3">
        <v>92518.714583333334</v>
      </c>
      <c r="E123" s="3"/>
      <c r="F123" s="1" t="s">
        <v>96</v>
      </c>
      <c r="G123" s="1" t="s">
        <v>151</v>
      </c>
      <c r="H123" s="1" t="s">
        <v>97</v>
      </c>
      <c r="I123" s="1" t="s">
        <v>46</v>
      </c>
      <c r="J123" s="1" t="s">
        <v>47</v>
      </c>
      <c r="K123" s="1" t="s">
        <v>30</v>
      </c>
      <c r="L123" s="1" t="s">
        <v>48</v>
      </c>
      <c r="M123" s="1" t="s">
        <v>40</v>
      </c>
      <c r="N123" s="3">
        <v>92510.543749999997</v>
      </c>
      <c r="O123" s="3">
        <v>92510.902777777781</v>
      </c>
      <c r="P123">
        <v>0</v>
      </c>
      <c r="Q123" t="str">
        <f>_xlfn.XLOOKUP(A123, patients!A:A, patients!B:B)</f>
        <v>F</v>
      </c>
      <c r="R123">
        <f>_xlfn.XLOOKUP(A123, patients!A:A, patients!C:C)</f>
        <v>65</v>
      </c>
      <c r="S123" t="str">
        <f t="shared" si="1"/>
        <v>50-70</v>
      </c>
      <c r="T123" s="1" t="str">
        <f>_xlfn.XLOOKUP(B123, diagnoses_icd!B:B, diagnoses_icd!D:D)</f>
        <v>Z923</v>
      </c>
    </row>
    <row r="124" spans="1:20" x14ac:dyDescent="0.2">
      <c r="A124">
        <v>10019003</v>
      </c>
      <c r="B124">
        <v>26703331</v>
      </c>
      <c r="C124" s="3">
        <v>93299.964583333334</v>
      </c>
      <c r="D124" s="3">
        <v>93304.6875</v>
      </c>
      <c r="E124" s="3"/>
      <c r="F124" s="1" t="s">
        <v>96</v>
      </c>
      <c r="G124" s="1" t="s">
        <v>152</v>
      </c>
      <c r="H124" s="1" t="s">
        <v>27</v>
      </c>
      <c r="I124" s="1" t="s">
        <v>34</v>
      </c>
      <c r="J124" s="1" t="s">
        <v>47</v>
      </c>
      <c r="K124" s="1" t="s">
        <v>30</v>
      </c>
      <c r="L124" s="1" t="s">
        <v>48</v>
      </c>
      <c r="M124" s="1" t="s">
        <v>40</v>
      </c>
      <c r="N124" s="3">
        <v>93299.859027777784</v>
      </c>
      <c r="O124" s="3">
        <v>93300.078472222216</v>
      </c>
      <c r="P124">
        <v>0</v>
      </c>
      <c r="Q124" t="str">
        <f>_xlfn.XLOOKUP(A124, patients!A:A, patients!B:B)</f>
        <v>F</v>
      </c>
      <c r="R124">
        <f>_xlfn.XLOOKUP(A124, patients!A:A, patients!C:C)</f>
        <v>65</v>
      </c>
      <c r="S124" t="str">
        <f t="shared" si="1"/>
        <v>50-70</v>
      </c>
      <c r="T124" s="1" t="str">
        <f>_xlfn.XLOOKUP(B124, diagnoses_icd!B:B, diagnoses_icd!D:D)</f>
        <v>J9601</v>
      </c>
    </row>
    <row r="125" spans="1:20" x14ac:dyDescent="0.2">
      <c r="A125">
        <v>10019777</v>
      </c>
      <c r="B125">
        <v>27738145</v>
      </c>
      <c r="C125" s="3">
        <v>104867.78958333333</v>
      </c>
      <c r="D125" s="3">
        <v>104884.55694444444</v>
      </c>
      <c r="E125" s="3"/>
      <c r="F125" s="1" t="s">
        <v>96</v>
      </c>
      <c r="G125" s="1" t="s">
        <v>153</v>
      </c>
      <c r="H125" s="1" t="s">
        <v>97</v>
      </c>
      <c r="I125" s="1" t="s">
        <v>111</v>
      </c>
      <c r="J125" s="1" t="s">
        <v>47</v>
      </c>
      <c r="K125" s="1" t="s">
        <v>30</v>
      </c>
      <c r="L125" s="1" t="s">
        <v>91</v>
      </c>
      <c r="M125" s="1" t="s">
        <v>40</v>
      </c>
      <c r="N125" s="3">
        <v>104867.63263888888</v>
      </c>
      <c r="O125" s="3">
        <v>104867.85694444444</v>
      </c>
      <c r="P125">
        <v>0</v>
      </c>
      <c r="Q125" t="str">
        <f>_xlfn.XLOOKUP(A125, patients!A:A, patients!B:B)</f>
        <v>M</v>
      </c>
      <c r="R125">
        <f>_xlfn.XLOOKUP(A125, patients!A:A, patients!C:C)</f>
        <v>51</v>
      </c>
      <c r="S125" t="str">
        <f t="shared" si="1"/>
        <v>50-70</v>
      </c>
      <c r="T125" s="1" t="str">
        <f>_xlfn.XLOOKUP(B125, diagnoses_icd!B:B, diagnoses_icd!D:D)</f>
        <v>99674</v>
      </c>
    </row>
    <row r="126" spans="1:20" x14ac:dyDescent="0.2">
      <c r="A126">
        <v>10018501</v>
      </c>
      <c r="B126">
        <v>28479513</v>
      </c>
      <c r="C126" s="3">
        <v>88236.940277777772</v>
      </c>
      <c r="D126" s="3">
        <v>88242.754166666666</v>
      </c>
      <c r="E126" s="3"/>
      <c r="F126" s="1" t="s">
        <v>96</v>
      </c>
      <c r="G126" s="1" t="s">
        <v>102</v>
      </c>
      <c r="H126" s="1" t="s">
        <v>97</v>
      </c>
      <c r="I126" s="1" t="s">
        <v>28</v>
      </c>
      <c r="J126" s="1" t="s">
        <v>39</v>
      </c>
      <c r="K126" s="1" t="s">
        <v>30</v>
      </c>
      <c r="L126" s="1" t="s">
        <v>43</v>
      </c>
      <c r="M126" s="1" t="s">
        <v>40</v>
      </c>
      <c r="N126" s="3">
        <v>88236.786805555559</v>
      </c>
      <c r="O126" s="3">
        <v>88237.000694444447</v>
      </c>
      <c r="P126">
        <v>0</v>
      </c>
      <c r="Q126" t="str">
        <f>_xlfn.XLOOKUP(A126, patients!A:A, patients!B:B)</f>
        <v>M</v>
      </c>
      <c r="R126">
        <f>_xlfn.XLOOKUP(A126, patients!A:A, patients!C:C)</f>
        <v>83</v>
      </c>
      <c r="S126" t="str">
        <f t="shared" si="1"/>
        <v>70+</v>
      </c>
      <c r="T126" s="1" t="str">
        <f>_xlfn.XLOOKUP(B126, diagnoses_icd!B:B, diagnoses_icd!D:D)</f>
        <v>29181</v>
      </c>
    </row>
    <row r="127" spans="1:20" x14ac:dyDescent="0.2">
      <c r="A127">
        <v>10004422</v>
      </c>
      <c r="B127">
        <v>21255400</v>
      </c>
      <c r="C127" s="3">
        <v>77082.621527777781</v>
      </c>
      <c r="D127" s="3">
        <v>77092.625</v>
      </c>
      <c r="E127" s="3"/>
      <c r="F127" s="1" t="s">
        <v>96</v>
      </c>
      <c r="G127" s="1" t="s">
        <v>135</v>
      </c>
      <c r="H127" s="1" t="s">
        <v>112</v>
      </c>
      <c r="I127" s="1" t="s">
        <v>34</v>
      </c>
      <c r="J127" s="1" t="s">
        <v>39</v>
      </c>
      <c r="K127" s="1" t="s">
        <v>30</v>
      </c>
      <c r="L127" s="1" t="s">
        <v>48</v>
      </c>
      <c r="M127" s="1" t="s">
        <v>40</v>
      </c>
      <c r="N127" s="3"/>
      <c r="O127" s="3"/>
      <c r="P127">
        <v>0</v>
      </c>
      <c r="Q127" t="str">
        <f>_xlfn.XLOOKUP(A127, patients!A:A, patients!B:B)</f>
        <v>M</v>
      </c>
      <c r="R127">
        <f>_xlfn.XLOOKUP(A127, patients!A:A, patients!C:C)</f>
        <v>78</v>
      </c>
      <c r="S127" t="str">
        <f t="shared" si="1"/>
        <v>70+</v>
      </c>
      <c r="T127" s="1" t="str">
        <f>_xlfn.XLOOKUP(B127, diagnoses_icd!B:B, diagnoses_icd!D:D)</f>
        <v>E8782</v>
      </c>
    </row>
    <row r="128" spans="1:20" x14ac:dyDescent="0.2">
      <c r="A128">
        <v>10003400</v>
      </c>
      <c r="B128">
        <v>27296885</v>
      </c>
      <c r="C128" s="3">
        <v>86564.902777777781</v>
      </c>
      <c r="D128" s="3">
        <v>86567.711805555562</v>
      </c>
      <c r="E128" s="3"/>
      <c r="F128" s="1" t="s">
        <v>96</v>
      </c>
      <c r="G128" s="1" t="s">
        <v>154</v>
      </c>
      <c r="H128" s="1" t="s">
        <v>97</v>
      </c>
      <c r="I128" s="1" t="s">
        <v>28</v>
      </c>
      <c r="J128" s="1" t="s">
        <v>39</v>
      </c>
      <c r="K128" s="1" t="s">
        <v>30</v>
      </c>
      <c r="L128" s="1" t="s">
        <v>36</v>
      </c>
      <c r="M128" s="1" t="s">
        <v>62</v>
      </c>
      <c r="N128" s="3">
        <v>86564.570138888885</v>
      </c>
      <c r="O128" s="3">
        <v>86565.024305555562</v>
      </c>
      <c r="P128">
        <v>0</v>
      </c>
      <c r="Q128" t="str">
        <f>_xlfn.XLOOKUP(A128, patients!A:A, patients!B:B)</f>
        <v>F</v>
      </c>
      <c r="R128">
        <f>_xlfn.XLOOKUP(A128, patients!A:A, patients!C:C)</f>
        <v>72</v>
      </c>
      <c r="S128" t="str">
        <f t="shared" si="1"/>
        <v>70+</v>
      </c>
      <c r="T128" s="1" t="str">
        <f>_xlfn.XLOOKUP(B128, diagnoses_icd!B:B, diagnoses_icd!D:D)</f>
        <v>71536</v>
      </c>
    </row>
    <row r="129" spans="1:20" x14ac:dyDescent="0.2">
      <c r="A129">
        <v>10003400</v>
      </c>
      <c r="B129">
        <v>29483621</v>
      </c>
      <c r="C129" s="3">
        <v>86507.86319444445</v>
      </c>
      <c r="D129" s="3">
        <v>86515.736111111109</v>
      </c>
      <c r="E129" s="3"/>
      <c r="F129" s="1" t="s">
        <v>96</v>
      </c>
      <c r="G129" s="1" t="s">
        <v>155</v>
      </c>
      <c r="H129" s="1" t="s">
        <v>97</v>
      </c>
      <c r="I129" s="1" t="s">
        <v>28</v>
      </c>
      <c r="J129" s="1" t="s">
        <v>39</v>
      </c>
      <c r="K129" s="1" t="s">
        <v>30</v>
      </c>
      <c r="L129" s="1" t="s">
        <v>36</v>
      </c>
      <c r="M129" s="1" t="s">
        <v>62</v>
      </c>
      <c r="N129" s="3">
        <v>86507.672222222216</v>
      </c>
      <c r="O129" s="3">
        <v>86507.925000000003</v>
      </c>
      <c r="P129">
        <v>0</v>
      </c>
      <c r="Q129" t="str">
        <f>_xlfn.XLOOKUP(A129, patients!A:A, patients!B:B)</f>
        <v>F</v>
      </c>
      <c r="R129">
        <f>_xlfn.XLOOKUP(A129, patients!A:A, patients!C:C)</f>
        <v>72</v>
      </c>
      <c r="S129" t="str">
        <f t="shared" si="1"/>
        <v>70+</v>
      </c>
      <c r="T129" s="1" t="str">
        <f>_xlfn.XLOOKUP(B129, diagnoses_icd!B:B, diagnoses_icd!D:D)</f>
        <v>4589</v>
      </c>
    </row>
    <row r="130" spans="1:20" x14ac:dyDescent="0.2">
      <c r="A130">
        <v>10003400</v>
      </c>
      <c r="B130">
        <v>22390287</v>
      </c>
      <c r="C130" s="3">
        <v>86602.820833333331</v>
      </c>
      <c r="D130" s="3">
        <v>86613.770833333328</v>
      </c>
      <c r="E130" s="3"/>
      <c r="F130" s="1" t="s">
        <v>96</v>
      </c>
      <c r="G130" s="1" t="s">
        <v>156</v>
      </c>
      <c r="H130" s="1" t="s">
        <v>97</v>
      </c>
      <c r="I130" s="1" t="s">
        <v>28</v>
      </c>
      <c r="J130" s="1" t="s">
        <v>39</v>
      </c>
      <c r="K130" s="1" t="s">
        <v>30</v>
      </c>
      <c r="L130" s="1" t="s">
        <v>36</v>
      </c>
      <c r="M130" s="1" t="s">
        <v>62</v>
      </c>
      <c r="N130" s="3">
        <v>86602.545833333337</v>
      </c>
      <c r="O130" s="3">
        <v>86602.905555555553</v>
      </c>
      <c r="P130">
        <v>0</v>
      </c>
      <c r="Q130" t="str">
        <f>_xlfn.XLOOKUP(A130, patients!A:A, patients!B:B)</f>
        <v>F</v>
      </c>
      <c r="R130">
        <f>_xlfn.XLOOKUP(A130, patients!A:A, patients!C:C)</f>
        <v>72</v>
      </c>
      <c r="S130" t="str">
        <f t="shared" ref="S130:S193" si="2">IF(R130&lt;30,"Under 30",
 IF(R130&lt;=50,"30-50",
 IF(R130&lt;=70,"50-70","70+")))</f>
        <v>70+</v>
      </c>
      <c r="T130" s="1" t="str">
        <f>_xlfn.XLOOKUP(B130, diagnoses_icd!B:B, diagnoses_icd!D:D)</f>
        <v>40390</v>
      </c>
    </row>
    <row r="131" spans="1:20" x14ac:dyDescent="0.2">
      <c r="A131">
        <v>10003400</v>
      </c>
      <c r="B131">
        <v>26090619</v>
      </c>
      <c r="C131" s="3">
        <v>85625.100694444438</v>
      </c>
      <c r="D131" s="3">
        <v>85626.628472222219</v>
      </c>
      <c r="E131" s="3"/>
      <c r="F131" s="1" t="s">
        <v>96</v>
      </c>
      <c r="G131" s="1" t="s">
        <v>157</v>
      </c>
      <c r="H131" s="1" t="s">
        <v>97</v>
      </c>
      <c r="I131" s="1" t="s">
        <v>34</v>
      </c>
      <c r="J131" s="1" t="s">
        <v>39</v>
      </c>
      <c r="K131" s="1" t="s">
        <v>30</v>
      </c>
      <c r="L131" s="1" t="s">
        <v>36</v>
      </c>
      <c r="M131" s="1" t="s">
        <v>62</v>
      </c>
      <c r="N131" s="3">
        <v>85624.90416666666</v>
      </c>
      <c r="O131" s="3">
        <v>85625.155555555553</v>
      </c>
      <c r="P131">
        <v>0</v>
      </c>
      <c r="Q131" t="str">
        <f>_xlfn.XLOOKUP(A131, patients!A:A, patients!B:B)</f>
        <v>F</v>
      </c>
      <c r="R131">
        <f>_xlfn.XLOOKUP(A131, patients!A:A, patients!C:C)</f>
        <v>72</v>
      </c>
      <c r="S131" t="str">
        <f t="shared" si="2"/>
        <v>70+</v>
      </c>
      <c r="T131" s="1" t="str">
        <f>_xlfn.XLOOKUP(B131, diagnoses_icd!B:B, diagnoses_icd!D:D)</f>
        <v>V5861</v>
      </c>
    </row>
    <row r="132" spans="1:20" x14ac:dyDescent="0.2">
      <c r="A132">
        <v>10003400</v>
      </c>
      <c r="B132">
        <v>26467376</v>
      </c>
      <c r="C132" s="3">
        <v>86542.613888888882</v>
      </c>
      <c r="D132" s="3">
        <v>86548.666666666672</v>
      </c>
      <c r="E132" s="3"/>
      <c r="F132" s="1" t="s">
        <v>96</v>
      </c>
      <c r="G132" s="1" t="s">
        <v>154</v>
      </c>
      <c r="H132" s="1" t="s">
        <v>97</v>
      </c>
      <c r="I132" s="1" t="s">
        <v>28</v>
      </c>
      <c r="J132" s="1" t="s">
        <v>39</v>
      </c>
      <c r="K132" s="1" t="s">
        <v>30</v>
      </c>
      <c r="L132" s="1" t="s">
        <v>36</v>
      </c>
      <c r="M132" s="1" t="s">
        <v>62</v>
      </c>
      <c r="N132" s="3">
        <v>86542.552777777775</v>
      </c>
      <c r="O132" s="3">
        <v>86542.78125</v>
      </c>
      <c r="P132">
        <v>0</v>
      </c>
      <c r="Q132" t="str">
        <f>_xlfn.XLOOKUP(A132, patients!A:A, patients!B:B)</f>
        <v>F</v>
      </c>
      <c r="R132">
        <f>_xlfn.XLOOKUP(A132, patients!A:A, patients!C:C)</f>
        <v>72</v>
      </c>
      <c r="S132" t="str">
        <f t="shared" si="2"/>
        <v>70+</v>
      </c>
      <c r="T132" s="1" t="str">
        <f>_xlfn.XLOOKUP(B132, diagnoses_icd!B:B, diagnoses_icd!D:D)</f>
        <v>5853</v>
      </c>
    </row>
    <row r="133" spans="1:20" x14ac:dyDescent="0.2">
      <c r="A133">
        <v>10023117</v>
      </c>
      <c r="B133">
        <v>28872262</v>
      </c>
      <c r="C133" s="3">
        <v>99293.900694444441</v>
      </c>
      <c r="D133" s="3">
        <v>99308.645833333328</v>
      </c>
      <c r="E133" s="3"/>
      <c r="F133" s="1" t="s">
        <v>96</v>
      </c>
      <c r="G133" s="1" t="s">
        <v>158</v>
      </c>
      <c r="H133" s="1" t="s">
        <v>97</v>
      </c>
      <c r="I133" s="1" t="s">
        <v>34</v>
      </c>
      <c r="J133" s="1" t="s">
        <v>39</v>
      </c>
      <c r="K133" s="1" t="s">
        <v>30</v>
      </c>
      <c r="L133" s="1" t="s">
        <v>48</v>
      </c>
      <c r="M133" s="1" t="s">
        <v>40</v>
      </c>
      <c r="N133" s="3">
        <v>99293.736111111109</v>
      </c>
      <c r="O133" s="3">
        <v>99293.951388888891</v>
      </c>
      <c r="P133">
        <v>0</v>
      </c>
      <c r="Q133" t="str">
        <f>_xlfn.XLOOKUP(A133, patients!A:A, patients!B:B)</f>
        <v>M</v>
      </c>
      <c r="R133">
        <f>_xlfn.XLOOKUP(A133, patients!A:A, patients!C:C)</f>
        <v>53</v>
      </c>
      <c r="S133" t="str">
        <f t="shared" si="2"/>
        <v>50-70</v>
      </c>
      <c r="T133" s="1" t="str">
        <f>_xlfn.XLOOKUP(B133, diagnoses_icd!B:B, diagnoses_icd!D:D)</f>
        <v>E8497</v>
      </c>
    </row>
    <row r="134" spans="1:20" x14ac:dyDescent="0.2">
      <c r="A134">
        <v>10023117</v>
      </c>
      <c r="B134">
        <v>29858644</v>
      </c>
      <c r="C134" s="3">
        <v>99819.927083333328</v>
      </c>
      <c r="D134" s="3">
        <v>99823.694444444438</v>
      </c>
      <c r="E134" s="3"/>
      <c r="F134" s="1" t="s">
        <v>96</v>
      </c>
      <c r="G134" s="1" t="s">
        <v>159</v>
      </c>
      <c r="H134" s="1" t="s">
        <v>97</v>
      </c>
      <c r="I134" s="1" t="s">
        <v>46</v>
      </c>
      <c r="J134" s="1" t="s">
        <v>39</v>
      </c>
      <c r="K134" s="1" t="s">
        <v>30</v>
      </c>
      <c r="L134" s="1" t="s">
        <v>48</v>
      </c>
      <c r="M134" s="1" t="s">
        <v>40</v>
      </c>
      <c r="N134" s="3">
        <v>99819.708333333328</v>
      </c>
      <c r="O134" s="3">
        <v>99819.97083333334</v>
      </c>
      <c r="P134">
        <v>0</v>
      </c>
      <c r="Q134" t="str">
        <f>_xlfn.XLOOKUP(A134, patients!A:A, patients!B:B)</f>
        <v>M</v>
      </c>
      <c r="R134">
        <f>_xlfn.XLOOKUP(A134, patients!A:A, patients!C:C)</f>
        <v>53</v>
      </c>
      <c r="S134" t="str">
        <f t="shared" si="2"/>
        <v>50-70</v>
      </c>
      <c r="T134" s="1" t="str">
        <f>_xlfn.XLOOKUP(B134, diagnoses_icd!B:B, diagnoses_icd!D:D)</f>
        <v>V4501</v>
      </c>
    </row>
    <row r="135" spans="1:20" x14ac:dyDescent="0.2">
      <c r="A135">
        <v>10017492</v>
      </c>
      <c r="B135">
        <v>27417763</v>
      </c>
      <c r="C135" s="3">
        <v>79071.767361111109</v>
      </c>
      <c r="D135" s="3">
        <v>79080.336805555562</v>
      </c>
      <c r="E135" s="3">
        <v>79080.336805555562</v>
      </c>
      <c r="F135" s="1" t="s">
        <v>96</v>
      </c>
      <c r="G135" s="1" t="s">
        <v>160</v>
      </c>
      <c r="H135" s="1" t="s">
        <v>97</v>
      </c>
      <c r="I135" s="1" t="s">
        <v>42</v>
      </c>
      <c r="J135" s="1" t="s">
        <v>29</v>
      </c>
      <c r="K135" s="1" t="s">
        <v>35</v>
      </c>
      <c r="L135" s="1" t="s">
        <v>31</v>
      </c>
      <c r="M135" s="1" t="s">
        <v>161</v>
      </c>
      <c r="N135" s="3">
        <v>79071.603472222225</v>
      </c>
      <c r="O135" s="3">
        <v>79071.906944444447</v>
      </c>
      <c r="P135">
        <v>1</v>
      </c>
      <c r="Q135" t="str">
        <f>_xlfn.XLOOKUP(A135, patients!A:A, patients!B:B)</f>
        <v>M</v>
      </c>
      <c r="R135">
        <f>_xlfn.XLOOKUP(A135, patients!A:A, patients!C:C)</f>
        <v>84</v>
      </c>
      <c r="S135" t="str">
        <f t="shared" si="2"/>
        <v>70+</v>
      </c>
      <c r="T135" s="1" t="str">
        <f>_xlfn.XLOOKUP(B135, diagnoses_icd!B:B, diagnoses_icd!D:D)</f>
        <v>5849</v>
      </c>
    </row>
    <row r="136" spans="1:20" x14ac:dyDescent="0.2">
      <c r="A136">
        <v>10017492</v>
      </c>
      <c r="B136">
        <v>27672872</v>
      </c>
      <c r="C136" s="3">
        <v>78241.836805555562</v>
      </c>
      <c r="D136" s="3">
        <v>78255.770833333328</v>
      </c>
      <c r="E136" s="3"/>
      <c r="F136" s="1" t="s">
        <v>96</v>
      </c>
      <c r="G136" s="1" t="s">
        <v>162</v>
      </c>
      <c r="H136" s="1" t="s">
        <v>97</v>
      </c>
      <c r="I136" s="1" t="s">
        <v>34</v>
      </c>
      <c r="J136" s="1" t="s">
        <v>47</v>
      </c>
      <c r="K136" s="1" t="s">
        <v>35</v>
      </c>
      <c r="L136" s="1" t="s">
        <v>31</v>
      </c>
      <c r="M136" s="1" t="s">
        <v>161</v>
      </c>
      <c r="N136" s="3">
        <v>78241.664583333331</v>
      </c>
      <c r="O136" s="3">
        <v>78241.901388888888</v>
      </c>
      <c r="P136">
        <v>0</v>
      </c>
      <c r="Q136" t="str">
        <f>_xlfn.XLOOKUP(A136, patients!A:A, patients!B:B)</f>
        <v>M</v>
      </c>
      <c r="R136">
        <f>_xlfn.XLOOKUP(A136, patients!A:A, patients!C:C)</f>
        <v>84</v>
      </c>
      <c r="S136" t="str">
        <f t="shared" si="2"/>
        <v>70+</v>
      </c>
      <c r="T136" s="1" t="str">
        <f>_xlfn.XLOOKUP(B136, diagnoses_icd!B:B, diagnoses_icd!D:D)</f>
        <v>43310</v>
      </c>
    </row>
    <row r="137" spans="1:20" x14ac:dyDescent="0.2">
      <c r="A137">
        <v>10038999</v>
      </c>
      <c r="B137">
        <v>29026789</v>
      </c>
      <c r="C137" s="3">
        <v>84875.98055555555</v>
      </c>
      <c r="D137" s="3">
        <v>84881.542361111118</v>
      </c>
      <c r="E137" s="3"/>
      <c r="F137" s="1" t="s">
        <v>96</v>
      </c>
      <c r="G137" s="1" t="s">
        <v>163</v>
      </c>
      <c r="H137" s="1" t="s">
        <v>27</v>
      </c>
      <c r="I137" s="1" t="s">
        <v>81</v>
      </c>
      <c r="J137" s="1" t="s">
        <v>39</v>
      </c>
      <c r="K137" s="1" t="s">
        <v>30</v>
      </c>
      <c r="L137" s="1" t="s">
        <v>31</v>
      </c>
      <c r="M137" s="1" t="s">
        <v>40</v>
      </c>
      <c r="N137" s="3">
        <v>84875.830555555556</v>
      </c>
      <c r="O137" s="3">
        <v>84876.066666666666</v>
      </c>
      <c r="P137">
        <v>0</v>
      </c>
      <c r="Q137" t="str">
        <f>_xlfn.XLOOKUP(A137, patients!A:A, patients!B:B)</f>
        <v>M</v>
      </c>
      <c r="R137">
        <f>_xlfn.XLOOKUP(A137, patients!A:A, patients!C:C)</f>
        <v>45</v>
      </c>
      <c r="S137" t="str">
        <f t="shared" si="2"/>
        <v>30-50</v>
      </c>
      <c r="T137" s="1" t="str">
        <f>_xlfn.XLOOKUP(B137, diagnoses_icd!B:B, diagnoses_icd!D:D)</f>
        <v>F09</v>
      </c>
    </row>
    <row r="138" spans="1:20" x14ac:dyDescent="0.2">
      <c r="A138">
        <v>10040025</v>
      </c>
      <c r="B138">
        <v>25172300</v>
      </c>
      <c r="C138" s="3">
        <v>89670.990277777775</v>
      </c>
      <c r="D138" s="3">
        <v>89672.581250000003</v>
      </c>
      <c r="E138" s="3"/>
      <c r="F138" s="1" t="s">
        <v>96</v>
      </c>
      <c r="G138" s="1" t="s">
        <v>164</v>
      </c>
      <c r="H138" s="1" t="s">
        <v>97</v>
      </c>
      <c r="I138" s="1" t="s">
        <v>46</v>
      </c>
      <c r="J138" s="1" t="s">
        <v>47</v>
      </c>
      <c r="K138" s="1" t="s">
        <v>30</v>
      </c>
      <c r="L138" s="1" t="s">
        <v>91</v>
      </c>
      <c r="M138" s="1" t="s">
        <v>40</v>
      </c>
      <c r="N138" s="3">
        <v>89670.834722222222</v>
      </c>
      <c r="O138" s="3">
        <v>89671.45694444445</v>
      </c>
      <c r="P138">
        <v>0</v>
      </c>
      <c r="Q138" t="str">
        <f>_xlfn.XLOOKUP(A138, patients!A:A, patients!B:B)</f>
        <v>F</v>
      </c>
      <c r="R138">
        <f>_xlfn.XLOOKUP(A138, patients!A:A, patients!C:C)</f>
        <v>64</v>
      </c>
      <c r="S138" t="str">
        <f t="shared" si="2"/>
        <v>50-70</v>
      </c>
      <c r="T138" s="1" t="str">
        <f>_xlfn.XLOOKUP(B138, diagnoses_icd!B:B, diagnoses_icd!D:D)</f>
        <v>2449</v>
      </c>
    </row>
    <row r="139" spans="1:20" x14ac:dyDescent="0.2">
      <c r="A139">
        <v>10040025</v>
      </c>
      <c r="B139">
        <v>25384176</v>
      </c>
      <c r="C139" s="3">
        <v>89778.991666666669</v>
      </c>
      <c r="D139" s="3">
        <v>89783.597222222219</v>
      </c>
      <c r="E139" s="3"/>
      <c r="F139" s="1" t="s">
        <v>96</v>
      </c>
      <c r="G139" s="1" t="s">
        <v>165</v>
      </c>
      <c r="H139" s="1" t="s">
        <v>97</v>
      </c>
      <c r="I139" s="1" t="s">
        <v>46</v>
      </c>
      <c r="J139" s="1" t="s">
        <v>47</v>
      </c>
      <c r="K139" s="1" t="s">
        <v>30</v>
      </c>
      <c r="L139" s="1" t="s">
        <v>91</v>
      </c>
      <c r="M139" s="1" t="s">
        <v>40</v>
      </c>
      <c r="N139" s="3">
        <v>89778.807638888888</v>
      </c>
      <c r="O139" s="3">
        <v>89779.037500000006</v>
      </c>
      <c r="P139">
        <v>0</v>
      </c>
      <c r="Q139" t="str">
        <f>_xlfn.XLOOKUP(A139, patients!A:A, patients!B:B)</f>
        <v>F</v>
      </c>
      <c r="R139">
        <f>_xlfn.XLOOKUP(A139, patients!A:A, patients!C:C)</f>
        <v>64</v>
      </c>
      <c r="S139" t="str">
        <f t="shared" si="2"/>
        <v>50-70</v>
      </c>
      <c r="T139" s="1" t="str">
        <f>_xlfn.XLOOKUP(B139, diagnoses_icd!B:B, diagnoses_icd!D:D)</f>
        <v>V5861</v>
      </c>
    </row>
    <row r="140" spans="1:20" x14ac:dyDescent="0.2">
      <c r="A140">
        <v>10040025</v>
      </c>
      <c r="B140">
        <v>27876215</v>
      </c>
      <c r="C140" s="3">
        <v>90529.334722222222</v>
      </c>
      <c r="D140" s="3">
        <v>90534.786805555559</v>
      </c>
      <c r="E140" s="3"/>
      <c r="F140" s="1" t="s">
        <v>96</v>
      </c>
      <c r="G140" s="1" t="s">
        <v>166</v>
      </c>
      <c r="H140" s="1" t="s">
        <v>97</v>
      </c>
      <c r="I140" s="1" t="s">
        <v>28</v>
      </c>
      <c r="J140" s="1" t="s">
        <v>47</v>
      </c>
      <c r="K140" s="1" t="s">
        <v>30</v>
      </c>
      <c r="L140" s="1" t="s">
        <v>91</v>
      </c>
      <c r="M140" s="1" t="s">
        <v>40</v>
      </c>
      <c r="N140" s="3">
        <v>90529.178472222222</v>
      </c>
      <c r="O140" s="3">
        <v>90529.455555555556</v>
      </c>
      <c r="P140">
        <v>0</v>
      </c>
      <c r="Q140" t="str">
        <f>_xlfn.XLOOKUP(A140, patients!A:A, patients!B:B)</f>
        <v>F</v>
      </c>
      <c r="R140">
        <f>_xlfn.XLOOKUP(A140, patients!A:A, patients!C:C)</f>
        <v>64</v>
      </c>
      <c r="S140" t="str">
        <f t="shared" si="2"/>
        <v>50-70</v>
      </c>
      <c r="T140" s="1" t="str">
        <f>_xlfn.XLOOKUP(B140, diagnoses_icd!B:B, diagnoses_icd!D:D)</f>
        <v>R791</v>
      </c>
    </row>
    <row r="141" spans="1:20" x14ac:dyDescent="0.2">
      <c r="A141">
        <v>10040025</v>
      </c>
      <c r="B141">
        <v>27553957</v>
      </c>
      <c r="C141" s="3">
        <v>89691.791666666672</v>
      </c>
      <c r="D141" s="3">
        <v>89698.59166666666</v>
      </c>
      <c r="E141" s="3"/>
      <c r="F141" s="1" t="s">
        <v>96</v>
      </c>
      <c r="G141" s="1" t="s">
        <v>65</v>
      </c>
      <c r="H141" s="1" t="s">
        <v>97</v>
      </c>
      <c r="I141" s="1" t="s">
        <v>46</v>
      </c>
      <c r="J141" s="1" t="s">
        <v>47</v>
      </c>
      <c r="K141" s="1" t="s">
        <v>30</v>
      </c>
      <c r="L141" s="1" t="s">
        <v>91</v>
      </c>
      <c r="M141" s="1" t="s">
        <v>40</v>
      </c>
      <c r="N141" s="3">
        <v>89691.479166666672</v>
      </c>
      <c r="O141" s="3">
        <v>89691.85555555555</v>
      </c>
      <c r="P141">
        <v>0</v>
      </c>
      <c r="Q141" t="str">
        <f>_xlfn.XLOOKUP(A141, patients!A:A, patients!B:B)</f>
        <v>F</v>
      </c>
      <c r="R141">
        <f>_xlfn.XLOOKUP(A141, patients!A:A, patients!C:C)</f>
        <v>64</v>
      </c>
      <c r="S141" t="str">
        <f t="shared" si="2"/>
        <v>50-70</v>
      </c>
      <c r="T141" s="1" t="str">
        <f>_xlfn.XLOOKUP(B141, diagnoses_icd!B:B, diagnoses_icd!D:D)</f>
        <v>41401</v>
      </c>
    </row>
    <row r="142" spans="1:20" x14ac:dyDescent="0.2">
      <c r="A142">
        <v>10009049</v>
      </c>
      <c r="B142">
        <v>22995465</v>
      </c>
      <c r="C142" s="3">
        <v>100224.34791666667</v>
      </c>
      <c r="D142" s="3">
        <v>100229.59375</v>
      </c>
      <c r="E142" s="3"/>
      <c r="F142" s="1" t="s">
        <v>96</v>
      </c>
      <c r="G142" s="1" t="s">
        <v>52</v>
      </c>
      <c r="H142" s="1" t="s">
        <v>97</v>
      </c>
      <c r="I142" s="1" t="s">
        <v>46</v>
      </c>
      <c r="J142" s="1" t="s">
        <v>47</v>
      </c>
      <c r="K142" s="1" t="s">
        <v>30</v>
      </c>
      <c r="L142" s="1" t="s">
        <v>36</v>
      </c>
      <c r="M142" s="1" t="s">
        <v>40</v>
      </c>
      <c r="N142" s="3">
        <v>100224.18055555556</v>
      </c>
      <c r="O142" s="3">
        <v>100224.3875</v>
      </c>
      <c r="P142">
        <v>0</v>
      </c>
      <c r="Q142" t="str">
        <f>_xlfn.XLOOKUP(A142, patients!A:A, patients!B:B)</f>
        <v>M</v>
      </c>
      <c r="R142">
        <f>_xlfn.XLOOKUP(A142, patients!A:A, patients!C:C)</f>
        <v>56</v>
      </c>
      <c r="S142" t="str">
        <f t="shared" si="2"/>
        <v>50-70</v>
      </c>
      <c r="T142" s="1" t="str">
        <f>_xlfn.XLOOKUP(B142, diagnoses_icd!B:B, diagnoses_icd!D:D)</f>
        <v>4829</v>
      </c>
    </row>
    <row r="143" spans="1:20" x14ac:dyDescent="0.2">
      <c r="A143">
        <v>10016742</v>
      </c>
      <c r="B143">
        <v>29281842</v>
      </c>
      <c r="C143" s="3">
        <v>101723.88402777778</v>
      </c>
      <c r="D143" s="3">
        <v>101728.84722222222</v>
      </c>
      <c r="E143" s="3"/>
      <c r="F143" s="1" t="s">
        <v>96</v>
      </c>
      <c r="G143" s="1" t="s">
        <v>64</v>
      </c>
      <c r="H143" s="1" t="s">
        <v>97</v>
      </c>
      <c r="I143" s="1" t="s">
        <v>28</v>
      </c>
      <c r="J143" s="1" t="s">
        <v>29</v>
      </c>
      <c r="K143" s="1" t="s">
        <v>30</v>
      </c>
      <c r="L143" s="1" t="s">
        <v>31</v>
      </c>
      <c r="M143" s="1" t="s">
        <v>62</v>
      </c>
      <c r="N143" s="3">
        <v>101723.73541666666</v>
      </c>
      <c r="O143" s="3">
        <v>101723.94791666667</v>
      </c>
      <c r="P143">
        <v>0</v>
      </c>
      <c r="Q143" t="str">
        <f>_xlfn.XLOOKUP(A143, patients!A:A, patients!B:B)</f>
        <v>F</v>
      </c>
      <c r="R143">
        <f>_xlfn.XLOOKUP(A143, patients!A:A, patients!C:C)</f>
        <v>58</v>
      </c>
      <c r="S143" t="str">
        <f t="shared" si="2"/>
        <v>50-70</v>
      </c>
      <c r="T143" s="1" t="str">
        <f>_xlfn.XLOOKUP(B143, diagnoses_icd!B:B, diagnoses_icd!D:D)</f>
        <v>D721</v>
      </c>
    </row>
    <row r="144" spans="1:20" x14ac:dyDescent="0.2">
      <c r="A144">
        <v>10004457</v>
      </c>
      <c r="B144">
        <v>28723315</v>
      </c>
      <c r="C144" s="3">
        <v>88249.66805555555</v>
      </c>
      <c r="D144" s="3">
        <v>88250.740972222222</v>
      </c>
      <c r="E144" s="3"/>
      <c r="F144" s="1" t="s">
        <v>96</v>
      </c>
      <c r="G144" s="1" t="s">
        <v>167</v>
      </c>
      <c r="H144" s="1" t="s">
        <v>97</v>
      </c>
      <c r="I144" s="1" t="s">
        <v>46</v>
      </c>
      <c r="J144" s="1" t="s">
        <v>39</v>
      </c>
      <c r="K144" s="1" t="s">
        <v>30</v>
      </c>
      <c r="L144" s="1" t="s">
        <v>31</v>
      </c>
      <c r="M144" s="1" t="s">
        <v>40</v>
      </c>
      <c r="N144" s="3">
        <v>88249.505555555559</v>
      </c>
      <c r="O144" s="3">
        <v>88249.722222222219</v>
      </c>
      <c r="P144">
        <v>0</v>
      </c>
      <c r="Q144" t="str">
        <f>_xlfn.XLOOKUP(A144, patients!A:A, patients!B:B)</f>
        <v>M</v>
      </c>
      <c r="R144">
        <f>_xlfn.XLOOKUP(A144, patients!A:A, patients!C:C)</f>
        <v>65</v>
      </c>
      <c r="S144" t="str">
        <f t="shared" si="2"/>
        <v>50-70</v>
      </c>
      <c r="T144" s="1" t="str">
        <f>_xlfn.XLOOKUP(B144, diagnoses_icd!B:B, diagnoses_icd!D:D)</f>
        <v>V153</v>
      </c>
    </row>
    <row r="145" spans="1:20" x14ac:dyDescent="0.2">
      <c r="A145">
        <v>10029291</v>
      </c>
      <c r="B145">
        <v>22205327</v>
      </c>
      <c r="C145" s="3">
        <v>81501.082638888882</v>
      </c>
      <c r="D145" s="3">
        <v>81519.645833333328</v>
      </c>
      <c r="E145" s="3"/>
      <c r="F145" s="1" t="s">
        <v>96</v>
      </c>
      <c r="G145" s="1" t="s">
        <v>168</v>
      </c>
      <c r="H145" s="1" t="s">
        <v>97</v>
      </c>
      <c r="I145" s="1" t="s">
        <v>34</v>
      </c>
      <c r="J145" s="1" t="s">
        <v>39</v>
      </c>
      <c r="K145" s="1" t="s">
        <v>30</v>
      </c>
      <c r="L145" s="1" t="s">
        <v>91</v>
      </c>
      <c r="M145" s="1" t="s">
        <v>40</v>
      </c>
      <c r="N145" s="3">
        <v>81500.99791666666</v>
      </c>
      <c r="O145" s="3">
        <v>81501.17569444445</v>
      </c>
      <c r="P145">
        <v>0</v>
      </c>
      <c r="Q145" t="str">
        <f>_xlfn.XLOOKUP(A145, patients!A:A, patients!B:B)</f>
        <v>F</v>
      </c>
      <c r="R145">
        <f>_xlfn.XLOOKUP(A145, patients!A:A, patients!C:C)</f>
        <v>50</v>
      </c>
      <c r="S145" t="str">
        <f t="shared" si="2"/>
        <v>30-50</v>
      </c>
      <c r="T145" s="1" t="str">
        <f>_xlfn.XLOOKUP(B145, diagnoses_icd!B:B, diagnoses_icd!D:D)</f>
        <v>E876</v>
      </c>
    </row>
    <row r="146" spans="1:20" x14ac:dyDescent="0.2">
      <c r="A146">
        <v>10004720</v>
      </c>
      <c r="B146">
        <v>22081550</v>
      </c>
      <c r="C146" s="3">
        <v>104777.75069444445</v>
      </c>
      <c r="D146" s="3">
        <v>104782.77083333333</v>
      </c>
      <c r="E146" s="3">
        <v>104782.77083333333</v>
      </c>
      <c r="F146" s="1" t="s">
        <v>96</v>
      </c>
      <c r="G146" s="1" t="s">
        <v>52</v>
      </c>
      <c r="H146" s="1" t="s">
        <v>169</v>
      </c>
      <c r="I146" s="1" t="s">
        <v>42</v>
      </c>
      <c r="J146" s="1" t="s">
        <v>39</v>
      </c>
      <c r="K146" s="1" t="s">
        <v>30</v>
      </c>
      <c r="L146" s="1" t="s">
        <v>31</v>
      </c>
      <c r="M146" s="1" t="s">
        <v>40</v>
      </c>
      <c r="N146" s="3">
        <v>104777.67291666666</v>
      </c>
      <c r="O146" s="3">
        <v>104777.82986111111</v>
      </c>
      <c r="P146">
        <v>1</v>
      </c>
      <c r="Q146" t="str">
        <f>_xlfn.XLOOKUP(A146, patients!A:A, patients!B:B)</f>
        <v>M</v>
      </c>
      <c r="R146">
        <f>_xlfn.XLOOKUP(A146, patients!A:A, patients!C:C)</f>
        <v>61</v>
      </c>
      <c r="S146" t="str">
        <f t="shared" si="2"/>
        <v>50-70</v>
      </c>
      <c r="T146" s="1" t="str">
        <f>_xlfn.XLOOKUP(B146, diagnoses_icd!B:B, diagnoses_icd!D:D)</f>
        <v>Y848</v>
      </c>
    </row>
    <row r="147" spans="1:20" x14ac:dyDescent="0.2">
      <c r="A147">
        <v>10019568</v>
      </c>
      <c r="B147">
        <v>28710730</v>
      </c>
      <c r="C147" s="3">
        <v>80384.879861111112</v>
      </c>
      <c r="D147" s="3">
        <v>80387.652777777781</v>
      </c>
      <c r="E147" s="3"/>
      <c r="F147" s="1" t="s">
        <v>96</v>
      </c>
      <c r="G147" s="1" t="s">
        <v>170</v>
      </c>
      <c r="H147" s="1" t="s">
        <v>97</v>
      </c>
      <c r="I147" s="1" t="s">
        <v>46</v>
      </c>
      <c r="J147" s="1" t="s">
        <v>39</v>
      </c>
      <c r="K147" s="1" t="s">
        <v>30</v>
      </c>
      <c r="L147" s="1" t="s">
        <v>31</v>
      </c>
      <c r="M147" s="1" t="s">
        <v>40</v>
      </c>
      <c r="N147" s="3">
        <v>80384.822222222225</v>
      </c>
      <c r="O147" s="3">
        <v>80384.952083333337</v>
      </c>
      <c r="P147">
        <v>0</v>
      </c>
      <c r="Q147" t="str">
        <f>_xlfn.XLOOKUP(A147, patients!A:A, patients!B:B)</f>
        <v>F</v>
      </c>
      <c r="R147">
        <f>_xlfn.XLOOKUP(A147, patients!A:A, patients!C:C)</f>
        <v>59</v>
      </c>
      <c r="S147" t="str">
        <f t="shared" si="2"/>
        <v>50-70</v>
      </c>
      <c r="T147" s="1" t="str">
        <f>_xlfn.XLOOKUP(B147, diagnoses_icd!B:B, diagnoses_icd!D:D)</f>
        <v>80707</v>
      </c>
    </row>
    <row r="148" spans="1:20" x14ac:dyDescent="0.2">
      <c r="A148">
        <v>10002930</v>
      </c>
      <c r="B148">
        <v>25922998</v>
      </c>
      <c r="C148" s="3">
        <v>108951.81805555556</v>
      </c>
      <c r="D148" s="3">
        <v>108956.66805555555</v>
      </c>
      <c r="E148" s="3"/>
      <c r="F148" s="1" t="s">
        <v>96</v>
      </c>
      <c r="G148" s="1" t="s">
        <v>141</v>
      </c>
      <c r="H148" s="1" t="s">
        <v>97</v>
      </c>
      <c r="I148" s="1" t="s">
        <v>171</v>
      </c>
      <c r="J148" s="1" t="s">
        <v>39</v>
      </c>
      <c r="K148" s="1" t="s">
        <v>30</v>
      </c>
      <c r="L148" s="1" t="s">
        <v>31</v>
      </c>
      <c r="M148" s="1" t="s">
        <v>62</v>
      </c>
      <c r="N148" s="3">
        <v>108951.4875</v>
      </c>
      <c r="O148" s="3">
        <v>108951.89166666666</v>
      </c>
      <c r="P148">
        <v>0</v>
      </c>
      <c r="Q148" t="str">
        <f>_xlfn.XLOOKUP(A148, patients!A:A, patients!B:B)</f>
        <v>F</v>
      </c>
      <c r="R148">
        <f>_xlfn.XLOOKUP(A148, patients!A:A, patients!C:C)</f>
        <v>48</v>
      </c>
      <c r="S148" t="str">
        <f t="shared" si="2"/>
        <v>30-50</v>
      </c>
      <c r="T148" s="1" t="str">
        <f>_xlfn.XLOOKUP(B148, diagnoses_icd!B:B, diagnoses_icd!D:D)</f>
        <v>F10239</v>
      </c>
    </row>
    <row r="149" spans="1:20" x14ac:dyDescent="0.2">
      <c r="A149">
        <v>10002930</v>
      </c>
      <c r="B149">
        <v>25696644</v>
      </c>
      <c r="C149" s="3">
        <v>108218.51736111111</v>
      </c>
      <c r="D149" s="3">
        <v>108221.64444444445</v>
      </c>
      <c r="E149" s="3"/>
      <c r="F149" s="1" t="s">
        <v>96</v>
      </c>
      <c r="G149" s="1" t="s">
        <v>172</v>
      </c>
      <c r="H149" s="1" t="s">
        <v>97</v>
      </c>
      <c r="I149" s="1" t="s">
        <v>171</v>
      </c>
      <c r="J149" s="1" t="s">
        <v>39</v>
      </c>
      <c r="K149" s="1" t="s">
        <v>30</v>
      </c>
      <c r="L149" s="1" t="s">
        <v>31</v>
      </c>
      <c r="M149" s="1" t="s">
        <v>62</v>
      </c>
      <c r="N149" s="3">
        <v>108218.24652777778</v>
      </c>
      <c r="O149" s="3">
        <v>108218.56944444444</v>
      </c>
      <c r="P149">
        <v>0</v>
      </c>
      <c r="Q149" t="str">
        <f>_xlfn.XLOOKUP(A149, patients!A:A, patients!B:B)</f>
        <v>F</v>
      </c>
      <c r="R149">
        <f>_xlfn.XLOOKUP(A149, patients!A:A, patients!C:C)</f>
        <v>48</v>
      </c>
      <c r="S149" t="str">
        <f t="shared" si="2"/>
        <v>30-50</v>
      </c>
      <c r="T149" s="1" t="str">
        <f>_xlfn.XLOOKUP(B149, diagnoses_icd!B:B, diagnoses_icd!D:D)</f>
        <v>30500</v>
      </c>
    </row>
    <row r="150" spans="1:20" x14ac:dyDescent="0.2">
      <c r="A150">
        <v>10007795</v>
      </c>
      <c r="B150">
        <v>22051341</v>
      </c>
      <c r="C150" s="3">
        <v>86464.868749999994</v>
      </c>
      <c r="D150" s="3">
        <v>86466.597222222219</v>
      </c>
      <c r="E150" s="3"/>
      <c r="F150" s="1" t="s">
        <v>96</v>
      </c>
      <c r="G150" s="1" t="s">
        <v>80</v>
      </c>
      <c r="H150" s="1" t="s">
        <v>97</v>
      </c>
      <c r="I150" s="1" t="s">
        <v>46</v>
      </c>
      <c r="J150" s="1" t="s">
        <v>39</v>
      </c>
      <c r="K150" s="1" t="s">
        <v>30</v>
      </c>
      <c r="L150" s="1" t="s">
        <v>31</v>
      </c>
      <c r="M150" s="1" t="s">
        <v>40</v>
      </c>
      <c r="N150" s="3">
        <v>86464.713194444441</v>
      </c>
      <c r="O150" s="3">
        <v>86464.9375</v>
      </c>
      <c r="P150">
        <v>0</v>
      </c>
      <c r="Q150" t="str">
        <f>_xlfn.XLOOKUP(A150, patients!A:A, patients!B:B)</f>
        <v>F</v>
      </c>
      <c r="R150">
        <f>_xlfn.XLOOKUP(A150, patients!A:A, patients!C:C)</f>
        <v>53</v>
      </c>
      <c r="S150" t="str">
        <f t="shared" si="2"/>
        <v>50-70</v>
      </c>
      <c r="T150" s="1" t="str">
        <f>_xlfn.XLOOKUP(B150, diagnoses_icd!B:B, diagnoses_icd!D:D)</f>
        <v>33819</v>
      </c>
    </row>
    <row r="151" spans="1:20" x14ac:dyDescent="0.2">
      <c r="A151">
        <v>10007795</v>
      </c>
      <c r="B151">
        <v>20285402</v>
      </c>
      <c r="C151" s="3">
        <v>86415.927777777775</v>
      </c>
      <c r="D151" s="3">
        <v>86422.805555555562</v>
      </c>
      <c r="E151" s="3"/>
      <c r="F151" s="1" t="s">
        <v>96</v>
      </c>
      <c r="G151" s="1" t="s">
        <v>173</v>
      </c>
      <c r="H151" s="1" t="s">
        <v>97</v>
      </c>
      <c r="I151" s="1" t="s">
        <v>34</v>
      </c>
      <c r="J151" s="1" t="s">
        <v>39</v>
      </c>
      <c r="K151" s="1" t="s">
        <v>30</v>
      </c>
      <c r="L151" s="1" t="s">
        <v>31</v>
      </c>
      <c r="M151" s="1" t="s">
        <v>40</v>
      </c>
      <c r="N151" s="3">
        <v>86415.684722222228</v>
      </c>
      <c r="O151" s="3">
        <v>86416.01180555555</v>
      </c>
      <c r="P151">
        <v>0</v>
      </c>
      <c r="Q151" t="str">
        <f>_xlfn.XLOOKUP(A151, patients!A:A, patients!B:B)</f>
        <v>F</v>
      </c>
      <c r="R151">
        <f>_xlfn.XLOOKUP(A151, patients!A:A, patients!C:C)</f>
        <v>53</v>
      </c>
      <c r="S151" t="str">
        <f t="shared" si="2"/>
        <v>50-70</v>
      </c>
      <c r="T151" s="1" t="str">
        <f>_xlfn.XLOOKUP(B151, diagnoses_icd!B:B, diagnoses_icd!D:D)</f>
        <v>00845</v>
      </c>
    </row>
    <row r="152" spans="1:20" x14ac:dyDescent="0.2">
      <c r="A152">
        <v>10010867</v>
      </c>
      <c r="B152">
        <v>22429197</v>
      </c>
      <c r="C152" s="3">
        <v>90580.361111111109</v>
      </c>
      <c r="D152" s="3">
        <v>90592.746527777781</v>
      </c>
      <c r="E152" s="3"/>
      <c r="F152" s="1" t="s">
        <v>96</v>
      </c>
      <c r="G152" s="1" t="s">
        <v>160</v>
      </c>
      <c r="H152" s="1" t="s">
        <v>97</v>
      </c>
      <c r="I152" s="1" t="s">
        <v>81</v>
      </c>
      <c r="J152" s="1" t="s">
        <v>47</v>
      </c>
      <c r="K152" s="1" t="s">
        <v>30</v>
      </c>
      <c r="L152" s="1" t="s">
        <v>31</v>
      </c>
      <c r="M152" s="1" t="s">
        <v>174</v>
      </c>
      <c r="N152" s="3">
        <v>90580.28125</v>
      </c>
      <c r="O152" s="3">
        <v>90580.397916666669</v>
      </c>
      <c r="P152">
        <v>0</v>
      </c>
      <c r="Q152" t="str">
        <f>_xlfn.XLOOKUP(A152, patients!A:A, patients!B:B)</f>
        <v>F</v>
      </c>
      <c r="R152">
        <f>_xlfn.XLOOKUP(A152, patients!A:A, patients!C:C)</f>
        <v>28</v>
      </c>
      <c r="S152" t="str">
        <f t="shared" si="2"/>
        <v>Under 30</v>
      </c>
      <c r="T152" s="1" t="str">
        <f>_xlfn.XLOOKUP(B152, diagnoses_icd!B:B, diagnoses_icd!D:D)</f>
        <v>J95851</v>
      </c>
    </row>
    <row r="153" spans="1:20" x14ac:dyDescent="0.2">
      <c r="A153">
        <v>10025463</v>
      </c>
      <c r="B153">
        <v>24470193</v>
      </c>
      <c r="C153" s="3">
        <v>86845.888888888891</v>
      </c>
      <c r="D153" s="3">
        <v>86846.645833333328</v>
      </c>
      <c r="E153" s="3">
        <v>86846.645833333328</v>
      </c>
      <c r="F153" s="1" t="s">
        <v>96</v>
      </c>
      <c r="G153" s="1" t="s">
        <v>113</v>
      </c>
      <c r="H153" s="1" t="s">
        <v>97</v>
      </c>
      <c r="I153" s="1" t="s">
        <v>42</v>
      </c>
      <c r="J153" s="1" t="s">
        <v>47</v>
      </c>
      <c r="K153" s="1" t="s">
        <v>30</v>
      </c>
      <c r="L153" s="1" t="s">
        <v>36</v>
      </c>
      <c r="M153" s="1" t="s">
        <v>40</v>
      </c>
      <c r="N153" s="3">
        <v>86845.761111111118</v>
      </c>
      <c r="O153" s="3">
        <v>86845.863888888882</v>
      </c>
      <c r="P153">
        <v>1</v>
      </c>
      <c r="Q153" t="str">
        <f>_xlfn.XLOOKUP(A153, patients!A:A, patients!B:B)</f>
        <v>M</v>
      </c>
      <c r="R153">
        <f>_xlfn.XLOOKUP(A153, patients!A:A, patients!C:C)</f>
        <v>66</v>
      </c>
      <c r="S153" t="str">
        <f t="shared" si="2"/>
        <v>50-70</v>
      </c>
      <c r="T153" s="1" t="str">
        <f>_xlfn.XLOOKUP(B153, diagnoses_icd!B:B, diagnoses_icd!D:D)</f>
        <v>4558</v>
      </c>
    </row>
    <row r="154" spans="1:20" x14ac:dyDescent="0.2">
      <c r="A154">
        <v>10002428</v>
      </c>
      <c r="B154">
        <v>28662225</v>
      </c>
      <c r="C154" s="3">
        <v>93606.594444444447</v>
      </c>
      <c r="D154" s="3">
        <v>93623.684722222228</v>
      </c>
      <c r="E154" s="3"/>
      <c r="F154" s="1" t="s">
        <v>96</v>
      </c>
      <c r="G154" s="1" t="s">
        <v>175</v>
      </c>
      <c r="H154" s="1" t="s">
        <v>97</v>
      </c>
      <c r="I154" s="1" t="s">
        <v>28</v>
      </c>
      <c r="J154" s="1" t="s">
        <v>39</v>
      </c>
      <c r="K154" s="1" t="s">
        <v>30</v>
      </c>
      <c r="L154" s="1" t="s">
        <v>48</v>
      </c>
      <c r="M154" s="1" t="s">
        <v>40</v>
      </c>
      <c r="N154" s="3">
        <v>93606.413888888885</v>
      </c>
      <c r="O154" s="3">
        <v>93606.715972222228</v>
      </c>
      <c r="P154">
        <v>0</v>
      </c>
      <c r="Q154" t="str">
        <f>_xlfn.XLOOKUP(A154, patients!A:A, patients!B:B)</f>
        <v>F</v>
      </c>
      <c r="R154">
        <f>_xlfn.XLOOKUP(A154, patients!A:A, patients!C:C)</f>
        <v>80</v>
      </c>
      <c r="S154" t="str">
        <f t="shared" si="2"/>
        <v>70+</v>
      </c>
      <c r="T154" s="1" t="str">
        <f>_xlfn.XLOOKUP(B154, diagnoses_icd!B:B, diagnoses_icd!D:D)</f>
        <v>E9478</v>
      </c>
    </row>
    <row r="155" spans="1:20" x14ac:dyDescent="0.2">
      <c r="A155">
        <v>10002428</v>
      </c>
      <c r="B155">
        <v>20321825</v>
      </c>
      <c r="C155" s="3">
        <v>93624.857638888891</v>
      </c>
      <c r="D155" s="3">
        <v>93627.691666666666</v>
      </c>
      <c r="E155" s="3"/>
      <c r="F155" s="1" t="s">
        <v>96</v>
      </c>
      <c r="G155" s="1" t="s">
        <v>127</v>
      </c>
      <c r="H155" s="1" t="s">
        <v>97</v>
      </c>
      <c r="I155" s="1" t="s">
        <v>73</v>
      </c>
      <c r="J155" s="1" t="s">
        <v>39</v>
      </c>
      <c r="K155" s="1" t="s">
        <v>30</v>
      </c>
      <c r="L155" s="1" t="s">
        <v>48</v>
      </c>
      <c r="M155" s="1" t="s">
        <v>40</v>
      </c>
      <c r="N155" s="3">
        <v>93624.770833333328</v>
      </c>
      <c r="O155" s="3">
        <v>93624.911805555559</v>
      </c>
      <c r="P155">
        <v>0</v>
      </c>
      <c r="Q155" t="str">
        <f>_xlfn.XLOOKUP(A155, patients!A:A, patients!B:B)</f>
        <v>F</v>
      </c>
      <c r="R155">
        <f>_xlfn.XLOOKUP(A155, patients!A:A, patients!C:C)</f>
        <v>80</v>
      </c>
      <c r="S155" t="str">
        <f t="shared" si="2"/>
        <v>70+</v>
      </c>
      <c r="T155" s="1" t="str">
        <f>_xlfn.XLOOKUP(B155, diagnoses_icd!B:B, diagnoses_icd!D:D)</f>
        <v>4019</v>
      </c>
    </row>
    <row r="156" spans="1:20" x14ac:dyDescent="0.2">
      <c r="A156">
        <v>10002428</v>
      </c>
      <c r="B156">
        <v>23473524</v>
      </c>
      <c r="C156" s="3">
        <v>93635.617361111115</v>
      </c>
      <c r="D156" s="3">
        <v>93646.594444444447</v>
      </c>
      <c r="E156" s="3"/>
      <c r="F156" s="1" t="s">
        <v>96</v>
      </c>
      <c r="G156" s="1" t="s">
        <v>52</v>
      </c>
      <c r="H156" s="1" t="s">
        <v>97</v>
      </c>
      <c r="I156" s="1" t="s">
        <v>73</v>
      </c>
      <c r="J156" s="1" t="s">
        <v>39</v>
      </c>
      <c r="K156" s="1" t="s">
        <v>30</v>
      </c>
      <c r="L156" s="1" t="s">
        <v>48</v>
      </c>
      <c r="M156" s="1" t="s">
        <v>40</v>
      </c>
      <c r="N156" s="3">
        <v>93635.478472222225</v>
      </c>
      <c r="O156" s="3">
        <v>93635.703472222216</v>
      </c>
      <c r="P156">
        <v>0</v>
      </c>
      <c r="Q156" t="str">
        <f>_xlfn.XLOOKUP(A156, patients!A:A, patients!B:B)</f>
        <v>F</v>
      </c>
      <c r="R156">
        <f>_xlfn.XLOOKUP(A156, patients!A:A, patients!C:C)</f>
        <v>80</v>
      </c>
      <c r="S156" t="str">
        <f t="shared" si="2"/>
        <v>70+</v>
      </c>
      <c r="T156" s="1" t="str">
        <f>_xlfn.XLOOKUP(B156, diagnoses_icd!B:B, diagnoses_icd!D:D)</f>
        <v>V707</v>
      </c>
    </row>
    <row r="157" spans="1:20" x14ac:dyDescent="0.2">
      <c r="A157">
        <v>10007818</v>
      </c>
      <c r="B157">
        <v>22987108</v>
      </c>
      <c r="C157" s="3">
        <v>90012.692361111112</v>
      </c>
      <c r="D157" s="3">
        <v>90044</v>
      </c>
      <c r="E157" s="3">
        <v>90044.868055555562</v>
      </c>
      <c r="F157" s="1" t="s">
        <v>176</v>
      </c>
      <c r="G157" s="1" t="s">
        <v>51</v>
      </c>
      <c r="H157" s="1" t="s">
        <v>86</v>
      </c>
      <c r="I157" s="1" t="s">
        <v>42</v>
      </c>
      <c r="J157" s="1" t="s">
        <v>39</v>
      </c>
      <c r="K157" s="1" t="s">
        <v>30</v>
      </c>
      <c r="L157" s="1" t="s">
        <v>36</v>
      </c>
      <c r="M157" s="1" t="s">
        <v>40</v>
      </c>
      <c r="N157" s="3"/>
      <c r="O157" s="3"/>
      <c r="P157">
        <v>1</v>
      </c>
      <c r="Q157" t="str">
        <f>_xlfn.XLOOKUP(A157, patients!A:A, patients!B:B)</f>
        <v>M</v>
      </c>
      <c r="R157">
        <f>_xlfn.XLOOKUP(A157, patients!A:A, patients!C:C)</f>
        <v>69</v>
      </c>
      <c r="S157" t="str">
        <f t="shared" si="2"/>
        <v>50-70</v>
      </c>
      <c r="T157" s="1" t="str">
        <f>_xlfn.XLOOKUP(B157, diagnoses_icd!B:B, diagnoses_icd!D:D)</f>
        <v>R627</v>
      </c>
    </row>
    <row r="158" spans="1:20" x14ac:dyDescent="0.2">
      <c r="A158">
        <v>10004235</v>
      </c>
      <c r="B158">
        <v>22187210</v>
      </c>
      <c r="C158" s="3">
        <v>108285.88263888888</v>
      </c>
      <c r="D158" s="3">
        <v>108287.5625</v>
      </c>
      <c r="E158" s="3"/>
      <c r="F158" s="1" t="s">
        <v>176</v>
      </c>
      <c r="G158" s="1" t="s">
        <v>177</v>
      </c>
      <c r="H158" s="1" t="s">
        <v>86</v>
      </c>
      <c r="I158" s="1" t="s">
        <v>34</v>
      </c>
      <c r="J158" s="1" t="s">
        <v>29</v>
      </c>
      <c r="K158" s="1" t="s">
        <v>30</v>
      </c>
      <c r="L158" s="1" t="s">
        <v>31</v>
      </c>
      <c r="M158" s="1" t="s">
        <v>32</v>
      </c>
      <c r="N158" s="3"/>
      <c r="O158" s="3"/>
      <c r="P158">
        <v>0</v>
      </c>
      <c r="Q158" t="str">
        <f>_xlfn.XLOOKUP(A158, patients!A:A, patients!B:B)</f>
        <v>M</v>
      </c>
      <c r="R158">
        <f>_xlfn.XLOOKUP(A158, patients!A:A, patients!C:C)</f>
        <v>47</v>
      </c>
      <c r="S158" t="str">
        <f t="shared" si="2"/>
        <v>30-50</v>
      </c>
      <c r="T158" s="1" t="str">
        <f>_xlfn.XLOOKUP(B158, diagnoses_icd!B:B, diagnoses_icd!D:D)</f>
        <v>29900</v>
      </c>
    </row>
    <row r="159" spans="1:20" x14ac:dyDescent="0.2">
      <c r="A159">
        <v>10001217</v>
      </c>
      <c r="B159">
        <v>27703517</v>
      </c>
      <c r="C159" s="3">
        <v>94221.70694444445</v>
      </c>
      <c r="D159" s="3">
        <v>94227.621527777781</v>
      </c>
      <c r="E159" s="3"/>
      <c r="F159" s="1" t="s">
        <v>176</v>
      </c>
      <c r="G159" s="1" t="s">
        <v>102</v>
      </c>
      <c r="H159" s="1" t="s">
        <v>86</v>
      </c>
      <c r="I159" s="1" t="s">
        <v>34</v>
      </c>
      <c r="J159" s="1" t="s">
        <v>47</v>
      </c>
      <c r="K159" s="1" t="s">
        <v>35</v>
      </c>
      <c r="L159" s="1" t="s">
        <v>36</v>
      </c>
      <c r="M159" s="1" t="s">
        <v>40</v>
      </c>
      <c r="N159" s="3"/>
      <c r="O159" s="3"/>
      <c r="P159">
        <v>0</v>
      </c>
      <c r="Q159" t="str">
        <f>_xlfn.XLOOKUP(A159, patients!A:A, patients!B:B)</f>
        <v>F</v>
      </c>
      <c r="R159">
        <f>_xlfn.XLOOKUP(A159, patients!A:A, patients!C:C)</f>
        <v>55</v>
      </c>
      <c r="S159" t="str">
        <f t="shared" si="2"/>
        <v>50-70</v>
      </c>
      <c r="T159" s="1" t="str">
        <f>_xlfn.XLOOKUP(B159, diagnoses_icd!B:B, diagnoses_icd!D:D)</f>
        <v>340</v>
      </c>
    </row>
    <row r="160" spans="1:20" x14ac:dyDescent="0.2">
      <c r="A160">
        <v>10021487</v>
      </c>
      <c r="B160">
        <v>27660781</v>
      </c>
      <c r="C160" s="3">
        <v>79321.665972222225</v>
      </c>
      <c r="D160" s="3">
        <v>79345.694444444438</v>
      </c>
      <c r="E160" s="3"/>
      <c r="F160" s="1" t="s">
        <v>176</v>
      </c>
      <c r="G160" s="1" t="s">
        <v>121</v>
      </c>
      <c r="H160" s="1" t="s">
        <v>178</v>
      </c>
      <c r="I160" s="1" t="s">
        <v>46</v>
      </c>
      <c r="J160" s="1" t="s">
        <v>47</v>
      </c>
      <c r="K160" s="1" t="s">
        <v>30</v>
      </c>
      <c r="L160" s="1" t="s">
        <v>91</v>
      </c>
      <c r="M160" s="1" t="s">
        <v>40</v>
      </c>
      <c r="N160" s="3"/>
      <c r="O160" s="3"/>
      <c r="P160">
        <v>0</v>
      </c>
      <c r="Q160" t="str">
        <f>_xlfn.XLOOKUP(A160, patients!A:A, patients!B:B)</f>
        <v>M</v>
      </c>
      <c r="R160">
        <f>_xlfn.XLOOKUP(A160, patients!A:A, patients!C:C)</f>
        <v>43</v>
      </c>
      <c r="S160" t="str">
        <f t="shared" si="2"/>
        <v>30-50</v>
      </c>
      <c r="T160" s="1" t="str">
        <f>_xlfn.XLOOKUP(B160, diagnoses_icd!B:B, diagnoses_icd!D:D)</f>
        <v>56722</v>
      </c>
    </row>
    <row r="161" spans="1:20" x14ac:dyDescent="0.2">
      <c r="A161">
        <v>10015860</v>
      </c>
      <c r="B161">
        <v>28613200</v>
      </c>
      <c r="C161" s="3">
        <v>105280.59305555555</v>
      </c>
      <c r="D161" s="3">
        <v>105284.6875</v>
      </c>
      <c r="E161" s="3"/>
      <c r="F161" s="1" t="s">
        <v>176</v>
      </c>
      <c r="G161" s="1" t="s">
        <v>122</v>
      </c>
      <c r="H161" s="1" t="s">
        <v>178</v>
      </c>
      <c r="I161" s="1" t="s">
        <v>34</v>
      </c>
      <c r="J161" s="1" t="s">
        <v>47</v>
      </c>
      <c r="K161" s="1" t="s">
        <v>30</v>
      </c>
      <c r="L161" s="1" t="s">
        <v>31</v>
      </c>
      <c r="M161" s="1" t="s">
        <v>40</v>
      </c>
      <c r="N161" s="3"/>
      <c r="O161" s="3"/>
      <c r="P161">
        <v>0</v>
      </c>
      <c r="Q161" t="str">
        <f>_xlfn.XLOOKUP(A161, patients!A:A, patients!B:B)</f>
        <v>M</v>
      </c>
      <c r="R161">
        <f>_xlfn.XLOOKUP(A161, patients!A:A, patients!C:C)</f>
        <v>53</v>
      </c>
      <c r="S161" t="str">
        <f t="shared" si="2"/>
        <v>50-70</v>
      </c>
      <c r="T161" s="1" t="str">
        <f>_xlfn.XLOOKUP(B161, diagnoses_icd!B:B, diagnoses_icd!D:D)</f>
        <v>70715</v>
      </c>
    </row>
    <row r="162" spans="1:20" x14ac:dyDescent="0.2">
      <c r="A162">
        <v>10031757</v>
      </c>
      <c r="B162">
        <v>28477280</v>
      </c>
      <c r="C162" s="3">
        <v>86849.946527777778</v>
      </c>
      <c r="D162" s="3">
        <v>86861.729166666672</v>
      </c>
      <c r="E162" s="3"/>
      <c r="F162" s="1" t="s">
        <v>176</v>
      </c>
      <c r="G162" s="1" t="s">
        <v>118</v>
      </c>
      <c r="H162" s="1" t="s">
        <v>178</v>
      </c>
      <c r="I162" s="1" t="s">
        <v>111</v>
      </c>
      <c r="J162" s="1" t="s">
        <v>47</v>
      </c>
      <c r="K162" s="1" t="s">
        <v>30</v>
      </c>
      <c r="L162" s="1" t="s">
        <v>91</v>
      </c>
      <c r="M162" s="1" t="s">
        <v>40</v>
      </c>
      <c r="N162" s="3"/>
      <c r="O162" s="3"/>
      <c r="P162">
        <v>0</v>
      </c>
      <c r="Q162" t="str">
        <f>_xlfn.XLOOKUP(A162, patients!A:A, patients!B:B)</f>
        <v>F</v>
      </c>
      <c r="R162">
        <f>_xlfn.XLOOKUP(A162, patients!A:A, patients!C:C)</f>
        <v>67</v>
      </c>
      <c r="S162" t="str">
        <f t="shared" si="2"/>
        <v>50-70</v>
      </c>
      <c r="T162" s="1" t="str">
        <f>_xlfn.XLOOKUP(B162, diagnoses_icd!B:B, diagnoses_icd!D:D)</f>
        <v>79021</v>
      </c>
    </row>
    <row r="163" spans="1:20" x14ac:dyDescent="0.2">
      <c r="A163">
        <v>10014354</v>
      </c>
      <c r="B163">
        <v>27562275</v>
      </c>
      <c r="C163" s="3">
        <v>90781.104861111118</v>
      </c>
      <c r="D163" s="3">
        <v>90783.740972222222</v>
      </c>
      <c r="E163" s="3"/>
      <c r="F163" s="1" t="s">
        <v>176</v>
      </c>
      <c r="G163" s="1" t="s">
        <v>179</v>
      </c>
      <c r="H163" s="1" t="s">
        <v>86</v>
      </c>
      <c r="I163" s="1" t="s">
        <v>34</v>
      </c>
      <c r="J163" s="1" t="s">
        <v>47</v>
      </c>
      <c r="K163" s="1" t="s">
        <v>30</v>
      </c>
      <c r="L163" s="1" t="s">
        <v>31</v>
      </c>
      <c r="M163" s="1" t="s">
        <v>40</v>
      </c>
      <c r="N163" s="3">
        <v>90780.858333333337</v>
      </c>
      <c r="O163" s="3">
        <v>90781.198611111118</v>
      </c>
      <c r="P163">
        <v>0</v>
      </c>
      <c r="Q163" t="str">
        <f>_xlfn.XLOOKUP(A163, patients!A:A, patients!B:B)</f>
        <v>M</v>
      </c>
      <c r="R163">
        <f>_xlfn.XLOOKUP(A163, patients!A:A, patients!C:C)</f>
        <v>60</v>
      </c>
      <c r="S163" t="str">
        <f t="shared" si="2"/>
        <v>50-70</v>
      </c>
      <c r="T163" s="1" t="str">
        <f>_xlfn.XLOOKUP(B163, diagnoses_icd!B:B, diagnoses_icd!D:D)</f>
        <v>Z7901</v>
      </c>
    </row>
    <row r="164" spans="1:20" x14ac:dyDescent="0.2">
      <c r="A164">
        <v>10035631</v>
      </c>
      <c r="B164">
        <v>27496788</v>
      </c>
      <c r="C164" s="3">
        <v>78036.713194444441</v>
      </c>
      <c r="D164" s="3">
        <v>78039.637499999997</v>
      </c>
      <c r="E164" s="3"/>
      <c r="F164" s="1" t="s">
        <v>176</v>
      </c>
      <c r="G164" s="1" t="s">
        <v>92</v>
      </c>
      <c r="H164" s="1" t="s">
        <v>178</v>
      </c>
      <c r="I164" s="1" t="s">
        <v>46</v>
      </c>
      <c r="J164" s="1" t="s">
        <v>47</v>
      </c>
      <c r="K164" s="1" t="s">
        <v>30</v>
      </c>
      <c r="L164" s="1" t="s">
        <v>36</v>
      </c>
      <c r="M164" s="1" t="s">
        <v>40</v>
      </c>
      <c r="N164" s="3"/>
      <c r="O164" s="3"/>
      <c r="P164">
        <v>0</v>
      </c>
      <c r="Q164" t="str">
        <f>_xlfn.XLOOKUP(A164, patients!A:A, patients!B:B)</f>
        <v>M</v>
      </c>
      <c r="R164">
        <f>_xlfn.XLOOKUP(A164, patients!A:A, patients!C:C)</f>
        <v>63</v>
      </c>
      <c r="S164" t="str">
        <f t="shared" si="2"/>
        <v>50-70</v>
      </c>
      <c r="T164" s="1" t="str">
        <f>_xlfn.XLOOKUP(B164, diagnoses_icd!B:B, diagnoses_icd!D:D)</f>
        <v>486</v>
      </c>
    </row>
    <row r="165" spans="1:20" x14ac:dyDescent="0.2">
      <c r="A165">
        <v>10035631</v>
      </c>
      <c r="B165">
        <v>29462354</v>
      </c>
      <c r="C165" s="3">
        <v>77693.80069444445</v>
      </c>
      <c r="D165" s="3">
        <v>77723.070138888885</v>
      </c>
      <c r="E165" s="3"/>
      <c r="F165" s="1" t="s">
        <v>176</v>
      </c>
      <c r="G165" s="1" t="s">
        <v>92</v>
      </c>
      <c r="H165" s="1" t="s">
        <v>86</v>
      </c>
      <c r="I165" s="1" t="s">
        <v>46</v>
      </c>
      <c r="J165" s="1" t="s">
        <v>47</v>
      </c>
      <c r="K165" s="1" t="s">
        <v>30</v>
      </c>
      <c r="L165" s="1" t="s">
        <v>36</v>
      </c>
      <c r="M165" s="1" t="s">
        <v>44</v>
      </c>
      <c r="N165" s="3">
        <v>77693.781944444447</v>
      </c>
      <c r="O165" s="3">
        <v>77693.826388888891</v>
      </c>
      <c r="P165">
        <v>0</v>
      </c>
      <c r="Q165" t="str">
        <f>_xlfn.XLOOKUP(A165, patients!A:A, patients!B:B)</f>
        <v>M</v>
      </c>
      <c r="R165">
        <f>_xlfn.XLOOKUP(A165, patients!A:A, patients!C:C)</f>
        <v>63</v>
      </c>
      <c r="S165" t="str">
        <f t="shared" si="2"/>
        <v>50-70</v>
      </c>
      <c r="T165" s="1" t="str">
        <f>_xlfn.XLOOKUP(B165, diagnoses_icd!B:B, diagnoses_icd!D:D)</f>
        <v>V707</v>
      </c>
    </row>
    <row r="166" spans="1:20" x14ac:dyDescent="0.2">
      <c r="A166">
        <v>10035631</v>
      </c>
      <c r="B166">
        <v>22732862</v>
      </c>
      <c r="C166" s="3">
        <v>77747.663194444438</v>
      </c>
      <c r="D166" s="3">
        <v>77757.680555555562</v>
      </c>
      <c r="E166" s="3"/>
      <c r="F166" s="1" t="s">
        <v>176</v>
      </c>
      <c r="G166" s="1" t="s">
        <v>180</v>
      </c>
      <c r="H166" s="1" t="s">
        <v>178</v>
      </c>
      <c r="I166" s="1" t="s">
        <v>46</v>
      </c>
      <c r="J166" s="1" t="s">
        <v>47</v>
      </c>
      <c r="K166" s="1" t="s">
        <v>30</v>
      </c>
      <c r="L166" s="1" t="s">
        <v>36</v>
      </c>
      <c r="M166" s="1" t="s">
        <v>44</v>
      </c>
      <c r="N166" s="3"/>
      <c r="O166" s="3"/>
      <c r="P166">
        <v>0</v>
      </c>
      <c r="Q166" t="str">
        <f>_xlfn.XLOOKUP(A166, patients!A:A, patients!B:B)</f>
        <v>M</v>
      </c>
      <c r="R166">
        <f>_xlfn.XLOOKUP(A166, patients!A:A, patients!C:C)</f>
        <v>63</v>
      </c>
      <c r="S166" t="str">
        <f t="shared" si="2"/>
        <v>50-70</v>
      </c>
      <c r="T166" s="1" t="str">
        <f>_xlfn.XLOOKUP(B166, diagnoses_icd!B:B, diagnoses_icd!D:D)</f>
        <v>99933</v>
      </c>
    </row>
    <row r="167" spans="1:20" x14ac:dyDescent="0.2">
      <c r="A167">
        <v>10035631</v>
      </c>
      <c r="B167">
        <v>21599196</v>
      </c>
      <c r="C167" s="3">
        <v>78937.470138888893</v>
      </c>
      <c r="D167" s="3">
        <v>78939.714583333334</v>
      </c>
      <c r="E167" s="3"/>
      <c r="F167" s="1" t="s">
        <v>176</v>
      </c>
      <c r="G167" s="1" t="s">
        <v>181</v>
      </c>
      <c r="H167" s="1" t="s">
        <v>86</v>
      </c>
      <c r="I167" s="1" t="s">
        <v>46</v>
      </c>
      <c r="J167" s="1" t="s">
        <v>47</v>
      </c>
      <c r="K167" s="1" t="s">
        <v>30</v>
      </c>
      <c r="L167" s="1" t="s">
        <v>36</v>
      </c>
      <c r="M167" s="1" t="s">
        <v>40</v>
      </c>
      <c r="N167" s="3"/>
      <c r="O167" s="3"/>
      <c r="P167">
        <v>0</v>
      </c>
      <c r="Q167" t="str">
        <f>_xlfn.XLOOKUP(A167, patients!A:A, patients!B:B)</f>
        <v>M</v>
      </c>
      <c r="R167">
        <f>_xlfn.XLOOKUP(A167, patients!A:A, patients!C:C)</f>
        <v>63</v>
      </c>
      <c r="S167" t="str">
        <f t="shared" si="2"/>
        <v>50-70</v>
      </c>
      <c r="T167" s="1" t="str">
        <f>_xlfn.XLOOKUP(B167, diagnoses_icd!B:B, diagnoses_icd!D:D)</f>
        <v>C9202</v>
      </c>
    </row>
    <row r="168" spans="1:20" x14ac:dyDescent="0.2">
      <c r="A168">
        <v>10019003</v>
      </c>
      <c r="B168">
        <v>26529390</v>
      </c>
      <c r="C168" s="3">
        <v>93275.001388888893</v>
      </c>
      <c r="D168" s="3">
        <v>93277.768750000003</v>
      </c>
      <c r="E168" s="3"/>
      <c r="F168" s="1" t="s">
        <v>176</v>
      </c>
      <c r="G168" s="1" t="s">
        <v>182</v>
      </c>
      <c r="H168" s="1" t="s">
        <v>86</v>
      </c>
      <c r="I168" s="1" t="s">
        <v>46</v>
      </c>
      <c r="J168" s="1" t="s">
        <v>47</v>
      </c>
      <c r="K168" s="1" t="s">
        <v>30</v>
      </c>
      <c r="L168" s="1" t="s">
        <v>48</v>
      </c>
      <c r="M168" s="1" t="s">
        <v>40</v>
      </c>
      <c r="N168" s="3">
        <v>93275.87708333334</v>
      </c>
      <c r="O168" s="3">
        <v>93276.12708333334</v>
      </c>
      <c r="P168">
        <v>0</v>
      </c>
      <c r="Q168" t="str">
        <f>_xlfn.XLOOKUP(A168, patients!A:A, patients!B:B)</f>
        <v>F</v>
      </c>
      <c r="R168">
        <f>_xlfn.XLOOKUP(A168, patients!A:A, patients!C:C)</f>
        <v>65</v>
      </c>
      <c r="S168" t="str">
        <f t="shared" si="2"/>
        <v>50-70</v>
      </c>
      <c r="T168" s="1" t="str">
        <f>_xlfn.XLOOKUP(B168, diagnoses_icd!B:B, diagnoses_icd!D:D)</f>
        <v>F419</v>
      </c>
    </row>
    <row r="169" spans="1:20" x14ac:dyDescent="0.2">
      <c r="A169">
        <v>10023117</v>
      </c>
      <c r="B169">
        <v>28887654</v>
      </c>
      <c r="C169" s="3">
        <v>100428.55902777778</v>
      </c>
      <c r="D169" s="3">
        <v>100432.43541666666</v>
      </c>
      <c r="E169" s="3"/>
      <c r="F169" s="1" t="s">
        <v>176</v>
      </c>
      <c r="G169" s="1" t="s">
        <v>183</v>
      </c>
      <c r="H169" s="1" t="s">
        <v>86</v>
      </c>
      <c r="I169" s="1" t="s">
        <v>46</v>
      </c>
      <c r="J169" s="1" t="s">
        <v>39</v>
      </c>
      <c r="K169" s="1" t="s">
        <v>30</v>
      </c>
      <c r="L169" s="1" t="s">
        <v>48</v>
      </c>
      <c r="M169" s="1" t="s">
        <v>40</v>
      </c>
      <c r="N169" s="3"/>
      <c r="O169" s="3"/>
      <c r="P169">
        <v>0</v>
      </c>
      <c r="Q169" t="str">
        <f>_xlfn.XLOOKUP(A169, patients!A:A, patients!B:B)</f>
        <v>M</v>
      </c>
      <c r="R169">
        <f>_xlfn.XLOOKUP(A169, patients!A:A, patients!C:C)</f>
        <v>53</v>
      </c>
      <c r="S169" t="str">
        <f t="shared" si="2"/>
        <v>50-70</v>
      </c>
      <c r="T169" s="1" t="str">
        <f>_xlfn.XLOOKUP(B169, diagnoses_icd!B:B, diagnoses_icd!D:D)</f>
        <v>T43505S</v>
      </c>
    </row>
    <row r="170" spans="1:20" x14ac:dyDescent="0.2">
      <c r="A170">
        <v>10002930</v>
      </c>
      <c r="B170">
        <v>23688993</v>
      </c>
      <c r="C170" s="3">
        <v>107235.48958333333</v>
      </c>
      <c r="D170" s="3">
        <v>107241.39236111111</v>
      </c>
      <c r="E170" s="3"/>
      <c r="F170" s="1" t="s">
        <v>176</v>
      </c>
      <c r="G170" s="1" t="s">
        <v>184</v>
      </c>
      <c r="H170" s="1" t="s">
        <v>86</v>
      </c>
      <c r="I170" s="1" t="s">
        <v>46</v>
      </c>
      <c r="J170" s="1" t="s">
        <v>39</v>
      </c>
      <c r="K170" s="1" t="s">
        <v>30</v>
      </c>
      <c r="L170" s="1" t="s">
        <v>31</v>
      </c>
      <c r="M170" s="1" t="s">
        <v>62</v>
      </c>
      <c r="N170" s="3">
        <v>107235.21111111112</v>
      </c>
      <c r="O170" s="3">
        <v>107235.5</v>
      </c>
      <c r="P170">
        <v>0</v>
      </c>
      <c r="Q170" t="str">
        <f>_xlfn.XLOOKUP(A170, patients!A:A, patients!B:B)</f>
        <v>F</v>
      </c>
      <c r="R170">
        <f>_xlfn.XLOOKUP(A170, patients!A:A, patients!C:C)</f>
        <v>48</v>
      </c>
      <c r="S170" t="str">
        <f t="shared" si="2"/>
        <v>30-50</v>
      </c>
      <c r="T170" s="1" t="str">
        <f>_xlfn.XLOOKUP(B170, diagnoses_icd!B:B, diagnoses_icd!D:D)</f>
        <v>V6284</v>
      </c>
    </row>
    <row r="171" spans="1:20" x14ac:dyDescent="0.2">
      <c r="A171">
        <v>10025463</v>
      </c>
      <c r="B171">
        <v>27327816</v>
      </c>
      <c r="C171" s="3">
        <v>86503.302083333328</v>
      </c>
      <c r="D171" s="3">
        <v>86505.701388888891</v>
      </c>
      <c r="E171" s="3"/>
      <c r="F171" s="1" t="s">
        <v>176</v>
      </c>
      <c r="G171" s="1" t="s">
        <v>185</v>
      </c>
      <c r="H171" s="1" t="s">
        <v>86</v>
      </c>
      <c r="I171" s="1" t="s">
        <v>46</v>
      </c>
      <c r="J171" s="1" t="s">
        <v>47</v>
      </c>
      <c r="K171" s="1" t="s">
        <v>30</v>
      </c>
      <c r="L171" s="1" t="s">
        <v>36</v>
      </c>
      <c r="M171" s="1" t="s">
        <v>40</v>
      </c>
      <c r="N171" s="3"/>
      <c r="O171" s="3"/>
      <c r="P171">
        <v>0</v>
      </c>
      <c r="Q171" t="str">
        <f>_xlfn.XLOOKUP(A171, patients!A:A, patients!B:B)</f>
        <v>M</v>
      </c>
      <c r="R171">
        <f>_xlfn.XLOOKUP(A171, patients!A:A, patients!C:C)</f>
        <v>66</v>
      </c>
      <c r="S171" t="str">
        <f t="shared" si="2"/>
        <v>50-70</v>
      </c>
      <c r="T171" s="1" t="str">
        <f>_xlfn.XLOOKUP(B171, diagnoses_icd!B:B, diagnoses_icd!D:D)</f>
        <v>V1582</v>
      </c>
    </row>
    <row r="172" spans="1:20" x14ac:dyDescent="0.2">
      <c r="A172">
        <v>10023239</v>
      </c>
      <c r="B172">
        <v>28984460</v>
      </c>
      <c r="C172" s="3">
        <v>87955.919444444444</v>
      </c>
      <c r="D172" s="3">
        <v>87956.709027777775</v>
      </c>
      <c r="E172" s="3"/>
      <c r="F172" s="1" t="s">
        <v>186</v>
      </c>
      <c r="G172" s="1" t="s">
        <v>187</v>
      </c>
      <c r="H172" s="1" t="s">
        <v>86</v>
      </c>
      <c r="I172" s="1" t="s">
        <v>43</v>
      </c>
      <c r="J172" s="1" t="s">
        <v>47</v>
      </c>
      <c r="K172" s="1" t="s">
        <v>30</v>
      </c>
      <c r="L172" s="1" t="s">
        <v>36</v>
      </c>
      <c r="M172" s="1" t="s">
        <v>40</v>
      </c>
      <c r="N172" s="3">
        <v>87955.753472222219</v>
      </c>
      <c r="O172" s="3">
        <v>87956.709027777775</v>
      </c>
      <c r="P172">
        <v>0</v>
      </c>
      <c r="Q172" t="str">
        <f>_xlfn.XLOOKUP(A172, patients!A:A, patients!B:B)</f>
        <v>F</v>
      </c>
      <c r="R172">
        <f>_xlfn.XLOOKUP(A172, patients!A:A, patients!C:C)</f>
        <v>29</v>
      </c>
      <c r="S172" t="str">
        <f t="shared" si="2"/>
        <v>Under 30</v>
      </c>
      <c r="T172" s="1" t="str">
        <f>_xlfn.XLOOKUP(B172, diagnoses_icd!B:B, diagnoses_icd!D:D)</f>
        <v>G40909</v>
      </c>
    </row>
    <row r="173" spans="1:20" x14ac:dyDescent="0.2">
      <c r="A173">
        <v>10024043</v>
      </c>
      <c r="B173">
        <v>25561728</v>
      </c>
      <c r="C173" s="3">
        <v>79293.840277777781</v>
      </c>
      <c r="D173" s="3">
        <v>79294.495138888888</v>
      </c>
      <c r="E173" s="3"/>
      <c r="F173" s="1" t="s">
        <v>186</v>
      </c>
      <c r="G173" s="1" t="s">
        <v>188</v>
      </c>
      <c r="H173" s="1" t="s">
        <v>97</v>
      </c>
      <c r="I173" s="1" t="s">
        <v>43</v>
      </c>
      <c r="J173" s="1" t="s">
        <v>39</v>
      </c>
      <c r="K173" s="1" t="s">
        <v>30</v>
      </c>
      <c r="L173" s="1" t="s">
        <v>31</v>
      </c>
      <c r="M173" s="1" t="s">
        <v>62</v>
      </c>
      <c r="N173" s="3">
        <v>79293.717361111107</v>
      </c>
      <c r="O173" s="3">
        <v>79294.495138888888</v>
      </c>
      <c r="P173">
        <v>0</v>
      </c>
      <c r="Q173" t="str">
        <f>_xlfn.XLOOKUP(A173, patients!A:A, patients!B:B)</f>
        <v>M</v>
      </c>
      <c r="R173">
        <f>_xlfn.XLOOKUP(A173, patients!A:A, patients!C:C)</f>
        <v>67</v>
      </c>
      <c r="S173" t="str">
        <f t="shared" si="2"/>
        <v>50-70</v>
      </c>
      <c r="T173" s="1" t="str">
        <f>_xlfn.XLOOKUP(B173, diagnoses_icd!B:B, diagnoses_icd!D:D)</f>
        <v>78609</v>
      </c>
    </row>
    <row r="174" spans="1:20" x14ac:dyDescent="0.2">
      <c r="A174">
        <v>10015860</v>
      </c>
      <c r="B174">
        <v>27670224</v>
      </c>
      <c r="C174" s="3">
        <v>105174.65833333334</v>
      </c>
      <c r="D174" s="3">
        <v>105176.60972222222</v>
      </c>
      <c r="E174" s="3"/>
      <c r="F174" s="1" t="s">
        <v>186</v>
      </c>
      <c r="G174" s="1" t="s">
        <v>189</v>
      </c>
      <c r="H174" s="1" t="s">
        <v>97</v>
      </c>
      <c r="I174" s="1" t="s">
        <v>43</v>
      </c>
      <c r="J174" s="1" t="s">
        <v>47</v>
      </c>
      <c r="K174" s="1" t="s">
        <v>30</v>
      </c>
      <c r="L174" s="1" t="s">
        <v>31</v>
      </c>
      <c r="M174" s="1" t="s">
        <v>40</v>
      </c>
      <c r="N174" s="3">
        <v>105174.53402777777</v>
      </c>
      <c r="O174" s="3">
        <v>105174.74166666667</v>
      </c>
      <c r="P174">
        <v>0</v>
      </c>
      <c r="Q174" t="str">
        <f>_xlfn.XLOOKUP(A174, patients!A:A, patients!B:B)</f>
        <v>M</v>
      </c>
      <c r="R174">
        <f>_xlfn.XLOOKUP(A174, patients!A:A, patients!C:C)</f>
        <v>53</v>
      </c>
      <c r="S174" t="str">
        <f t="shared" si="2"/>
        <v>50-70</v>
      </c>
      <c r="T174" s="1" t="str">
        <f>_xlfn.XLOOKUP(B174, diagnoses_icd!B:B, diagnoses_icd!D:D)</f>
        <v>V1581</v>
      </c>
    </row>
    <row r="175" spans="1:20" x14ac:dyDescent="0.2">
      <c r="A175">
        <v>10015860</v>
      </c>
      <c r="B175">
        <v>22607171</v>
      </c>
      <c r="C175" s="3">
        <v>106057.34444444445</v>
      </c>
      <c r="D175" s="3">
        <v>106058.65555555555</v>
      </c>
      <c r="E175" s="3"/>
      <c r="F175" s="1" t="s">
        <v>186</v>
      </c>
      <c r="G175" s="1" t="s">
        <v>164</v>
      </c>
      <c r="H175" s="1" t="s">
        <v>97</v>
      </c>
      <c r="I175" s="1" t="s">
        <v>43</v>
      </c>
      <c r="J175" s="1" t="s">
        <v>47</v>
      </c>
      <c r="K175" s="1" t="s">
        <v>30</v>
      </c>
      <c r="L175" s="1" t="s">
        <v>31</v>
      </c>
      <c r="M175" s="1" t="s">
        <v>40</v>
      </c>
      <c r="N175" s="3">
        <v>106056.71597222223</v>
      </c>
      <c r="O175" s="3">
        <v>106057.41666666667</v>
      </c>
      <c r="P175">
        <v>0</v>
      </c>
      <c r="Q175" t="str">
        <f>_xlfn.XLOOKUP(A175, patients!A:A, patients!B:B)</f>
        <v>M</v>
      </c>
      <c r="R175">
        <f>_xlfn.XLOOKUP(A175, patients!A:A, patients!C:C)</f>
        <v>53</v>
      </c>
      <c r="S175" t="str">
        <f t="shared" si="2"/>
        <v>50-70</v>
      </c>
      <c r="T175" s="1" t="str">
        <f>_xlfn.XLOOKUP(B175, diagnoses_icd!B:B, diagnoses_icd!D:D)</f>
        <v>N179</v>
      </c>
    </row>
    <row r="176" spans="1:20" x14ac:dyDescent="0.2">
      <c r="A176">
        <v>10015860</v>
      </c>
      <c r="B176">
        <v>22416954</v>
      </c>
      <c r="C176" s="3">
        <v>107141.94791666667</v>
      </c>
      <c r="D176" s="3">
        <v>107143.09236111111</v>
      </c>
      <c r="E176" s="3"/>
      <c r="F176" s="1" t="s">
        <v>186</v>
      </c>
      <c r="G176" s="1" t="s">
        <v>190</v>
      </c>
      <c r="H176" s="1" t="s">
        <v>27</v>
      </c>
      <c r="I176" s="1" t="s">
        <v>43</v>
      </c>
      <c r="J176" s="1" t="s">
        <v>47</v>
      </c>
      <c r="K176" s="1" t="s">
        <v>30</v>
      </c>
      <c r="L176" s="1" t="s">
        <v>31</v>
      </c>
      <c r="M176" s="1" t="s">
        <v>40</v>
      </c>
      <c r="N176" s="3">
        <v>107141.8</v>
      </c>
      <c r="O176" s="3">
        <v>107143.09236111111</v>
      </c>
      <c r="P176">
        <v>0</v>
      </c>
      <c r="Q176" t="str">
        <f>_xlfn.XLOOKUP(A176, patients!A:A, patients!B:B)</f>
        <v>M</v>
      </c>
      <c r="R176">
        <f>_xlfn.XLOOKUP(A176, patients!A:A, patients!C:C)</f>
        <v>53</v>
      </c>
      <c r="S176" t="str">
        <f t="shared" si="2"/>
        <v>50-70</v>
      </c>
      <c r="T176" s="1" t="str">
        <f>_xlfn.XLOOKUP(B176, diagnoses_icd!B:B, diagnoses_icd!D:D)</f>
        <v>E1122</v>
      </c>
    </row>
    <row r="177" spans="1:20" x14ac:dyDescent="0.2">
      <c r="A177">
        <v>10020740</v>
      </c>
      <c r="B177">
        <v>23143086</v>
      </c>
      <c r="C177" s="3">
        <v>91692.642361111109</v>
      </c>
      <c r="D177" s="3">
        <v>91693.109722222216</v>
      </c>
      <c r="E177" s="3"/>
      <c r="F177" s="1" t="s">
        <v>186</v>
      </c>
      <c r="G177" s="1" t="s">
        <v>191</v>
      </c>
      <c r="H177" s="1" t="s">
        <v>97</v>
      </c>
      <c r="I177" s="1" t="s">
        <v>43</v>
      </c>
      <c r="J177" s="1" t="s">
        <v>47</v>
      </c>
      <c r="K177" s="1" t="s">
        <v>30</v>
      </c>
      <c r="L177" s="1" t="s">
        <v>31</v>
      </c>
      <c r="M177" s="1" t="s">
        <v>40</v>
      </c>
      <c r="N177" s="3">
        <v>91692.490972222222</v>
      </c>
      <c r="O177" s="3">
        <v>91693.109722222216</v>
      </c>
      <c r="P177">
        <v>0</v>
      </c>
      <c r="Q177" t="str">
        <f>_xlfn.XLOOKUP(A177, patients!A:A, patients!B:B)</f>
        <v>M</v>
      </c>
      <c r="R177">
        <f>_xlfn.XLOOKUP(A177, patients!A:A, patients!C:C)</f>
        <v>56</v>
      </c>
      <c r="S177" t="str">
        <f t="shared" si="2"/>
        <v>50-70</v>
      </c>
      <c r="T177" s="1" t="str">
        <f>_xlfn.XLOOKUP(B177, diagnoses_icd!B:B, diagnoses_icd!D:D)</f>
        <v>29574</v>
      </c>
    </row>
    <row r="178" spans="1:20" x14ac:dyDescent="0.2">
      <c r="A178">
        <v>10020740</v>
      </c>
      <c r="B178">
        <v>23199774</v>
      </c>
      <c r="C178" s="3">
        <v>91570.589583333334</v>
      </c>
      <c r="D178" s="3">
        <v>91570.714583333334</v>
      </c>
      <c r="E178" s="3"/>
      <c r="F178" s="1" t="s">
        <v>186</v>
      </c>
      <c r="G178" s="1" t="s">
        <v>192</v>
      </c>
      <c r="H178" s="1" t="s">
        <v>97</v>
      </c>
      <c r="I178" s="1" t="s">
        <v>43</v>
      </c>
      <c r="J178" s="1" t="s">
        <v>47</v>
      </c>
      <c r="K178" s="1" t="s">
        <v>30</v>
      </c>
      <c r="L178" s="1" t="s">
        <v>31</v>
      </c>
      <c r="M178" s="1" t="s">
        <v>40</v>
      </c>
      <c r="N178" s="3">
        <v>91570.396527777775</v>
      </c>
      <c r="O178" s="3">
        <v>91570.714583333334</v>
      </c>
      <c r="P178">
        <v>0</v>
      </c>
      <c r="Q178" t="str">
        <f>_xlfn.XLOOKUP(A178, patients!A:A, patients!B:B)</f>
        <v>M</v>
      </c>
      <c r="R178">
        <f>_xlfn.XLOOKUP(A178, patients!A:A, patients!C:C)</f>
        <v>56</v>
      </c>
      <c r="S178" t="str">
        <f t="shared" si="2"/>
        <v>50-70</v>
      </c>
      <c r="T178" s="1" t="str">
        <f>_xlfn.XLOOKUP(B178, diagnoses_icd!B:B, diagnoses_icd!D:D)</f>
        <v>29660</v>
      </c>
    </row>
    <row r="179" spans="1:20" x14ac:dyDescent="0.2">
      <c r="A179">
        <v>10014354</v>
      </c>
      <c r="B179">
        <v>24096336</v>
      </c>
      <c r="C179" s="3">
        <v>91117.954166666663</v>
      </c>
      <c r="D179" s="3">
        <v>91118.574999999997</v>
      </c>
      <c r="E179" s="3"/>
      <c r="F179" s="1" t="s">
        <v>186</v>
      </c>
      <c r="G179" s="1" t="s">
        <v>193</v>
      </c>
      <c r="H179" s="1" t="s">
        <v>86</v>
      </c>
      <c r="I179" s="1" t="s">
        <v>43</v>
      </c>
      <c r="J179" s="1" t="s">
        <v>47</v>
      </c>
      <c r="K179" s="1" t="s">
        <v>30</v>
      </c>
      <c r="L179" s="1" t="s">
        <v>31</v>
      </c>
      <c r="M179" s="1" t="s">
        <v>40</v>
      </c>
      <c r="N179" s="3">
        <v>91117.709027777775</v>
      </c>
      <c r="O179" s="3">
        <v>91118.574999999997</v>
      </c>
      <c r="P179">
        <v>0</v>
      </c>
      <c r="Q179" t="str">
        <f>_xlfn.XLOOKUP(A179, patients!A:A, patients!B:B)</f>
        <v>M</v>
      </c>
      <c r="R179">
        <f>_xlfn.XLOOKUP(A179, patients!A:A, patients!C:C)</f>
        <v>60</v>
      </c>
      <c r="S179" t="str">
        <f t="shared" si="2"/>
        <v>50-70</v>
      </c>
      <c r="T179" s="1" t="str">
        <f>_xlfn.XLOOKUP(B179, diagnoses_icd!B:B, diagnoses_icd!D:D)</f>
        <v>Z950</v>
      </c>
    </row>
    <row r="180" spans="1:20" x14ac:dyDescent="0.2">
      <c r="A180">
        <v>10014354</v>
      </c>
      <c r="B180">
        <v>26722126</v>
      </c>
      <c r="C180" s="3">
        <v>90164.078472222216</v>
      </c>
      <c r="D180" s="3">
        <v>90164.55069444445</v>
      </c>
      <c r="E180" s="3"/>
      <c r="F180" s="1" t="s">
        <v>186</v>
      </c>
      <c r="G180" s="1" t="s">
        <v>194</v>
      </c>
      <c r="H180" s="1" t="s">
        <v>97</v>
      </c>
      <c r="I180" s="1" t="s">
        <v>43</v>
      </c>
      <c r="J180" s="1" t="s">
        <v>47</v>
      </c>
      <c r="K180" s="1" t="s">
        <v>30</v>
      </c>
      <c r="L180" s="1" t="s">
        <v>36</v>
      </c>
      <c r="M180" s="1" t="s">
        <v>40</v>
      </c>
      <c r="N180" s="3">
        <v>90163.891666666663</v>
      </c>
      <c r="O180" s="3">
        <v>90164.55069444445</v>
      </c>
      <c r="P180">
        <v>0</v>
      </c>
      <c r="Q180" t="str">
        <f>_xlfn.XLOOKUP(A180, patients!A:A, patients!B:B)</f>
        <v>M</v>
      </c>
      <c r="R180">
        <f>_xlfn.XLOOKUP(A180, patients!A:A, patients!C:C)</f>
        <v>60</v>
      </c>
      <c r="S180" t="str">
        <f t="shared" si="2"/>
        <v>50-70</v>
      </c>
      <c r="T180" s="1" t="str">
        <f>_xlfn.XLOOKUP(B180, diagnoses_icd!B:B, diagnoses_icd!D:D)</f>
        <v>E119</v>
      </c>
    </row>
    <row r="181" spans="1:20" x14ac:dyDescent="0.2">
      <c r="A181">
        <v>10014354</v>
      </c>
      <c r="B181">
        <v>20900955</v>
      </c>
      <c r="C181" s="3">
        <v>91010.968055555553</v>
      </c>
      <c r="D181" s="3">
        <v>91011.624305555553</v>
      </c>
      <c r="E181" s="3"/>
      <c r="F181" s="1" t="s">
        <v>186</v>
      </c>
      <c r="G181" s="1" t="s">
        <v>195</v>
      </c>
      <c r="H181" s="1" t="s">
        <v>133</v>
      </c>
      <c r="I181" s="1" t="s">
        <v>43</v>
      </c>
      <c r="J181" s="1" t="s">
        <v>47</v>
      </c>
      <c r="K181" s="1" t="s">
        <v>30</v>
      </c>
      <c r="L181" s="1" t="s">
        <v>31</v>
      </c>
      <c r="M181" s="1" t="s">
        <v>40</v>
      </c>
      <c r="N181" s="3">
        <v>91010.85</v>
      </c>
      <c r="O181" s="3">
        <v>91011.624305555553</v>
      </c>
      <c r="P181">
        <v>0</v>
      </c>
      <c r="Q181" t="str">
        <f>_xlfn.XLOOKUP(A181, patients!A:A, patients!B:B)</f>
        <v>M</v>
      </c>
      <c r="R181">
        <f>_xlfn.XLOOKUP(A181, patients!A:A, patients!C:C)</f>
        <v>60</v>
      </c>
      <c r="S181" t="str">
        <f t="shared" si="2"/>
        <v>50-70</v>
      </c>
      <c r="T181" s="1" t="str">
        <f>_xlfn.XLOOKUP(B181, diagnoses_icd!B:B, diagnoses_icd!D:D)</f>
        <v>Z7902</v>
      </c>
    </row>
    <row r="182" spans="1:20" x14ac:dyDescent="0.2">
      <c r="A182">
        <v>10014354</v>
      </c>
      <c r="B182">
        <v>22502504</v>
      </c>
      <c r="C182" s="3">
        <v>90471.212499999994</v>
      </c>
      <c r="D182" s="3">
        <v>90471.791666666672</v>
      </c>
      <c r="E182" s="3"/>
      <c r="F182" s="1" t="s">
        <v>186</v>
      </c>
      <c r="G182" s="1" t="s">
        <v>114</v>
      </c>
      <c r="H182" s="1" t="s">
        <v>97</v>
      </c>
      <c r="I182" s="1" t="s">
        <v>43</v>
      </c>
      <c r="J182" s="1" t="s">
        <v>47</v>
      </c>
      <c r="K182" s="1" t="s">
        <v>30</v>
      </c>
      <c r="L182" s="1" t="s">
        <v>31</v>
      </c>
      <c r="M182" s="1" t="s">
        <v>40</v>
      </c>
      <c r="N182" s="3">
        <v>90471.084027777775</v>
      </c>
      <c r="O182" s="3">
        <v>90471.275694444441</v>
      </c>
      <c r="P182">
        <v>0</v>
      </c>
      <c r="Q182" t="str">
        <f>_xlfn.XLOOKUP(A182, patients!A:A, patients!B:B)</f>
        <v>M</v>
      </c>
      <c r="R182">
        <f>_xlfn.XLOOKUP(A182, patients!A:A, patients!C:C)</f>
        <v>60</v>
      </c>
      <c r="S182" t="str">
        <f t="shared" si="2"/>
        <v>50-70</v>
      </c>
      <c r="T182" s="1" t="str">
        <f>_xlfn.XLOOKUP(B182, diagnoses_icd!B:B, diagnoses_icd!D:D)</f>
        <v>C6292</v>
      </c>
    </row>
    <row r="183" spans="1:20" x14ac:dyDescent="0.2">
      <c r="A183">
        <v>10014354</v>
      </c>
      <c r="B183">
        <v>26173805</v>
      </c>
      <c r="C183" s="3">
        <v>91207.954166666663</v>
      </c>
      <c r="D183" s="3">
        <v>91208.447916666672</v>
      </c>
      <c r="E183" s="3"/>
      <c r="F183" s="1" t="s">
        <v>186</v>
      </c>
      <c r="G183" s="1" t="s">
        <v>196</v>
      </c>
      <c r="H183" s="1" t="s">
        <v>133</v>
      </c>
      <c r="I183" s="1" t="s">
        <v>43</v>
      </c>
      <c r="J183" s="1" t="s">
        <v>47</v>
      </c>
      <c r="K183" s="1" t="s">
        <v>30</v>
      </c>
      <c r="L183" s="1" t="s">
        <v>31</v>
      </c>
      <c r="M183" s="1" t="s">
        <v>40</v>
      </c>
      <c r="N183" s="3">
        <v>91207.380555555559</v>
      </c>
      <c r="O183" s="3">
        <v>91207.996527777781</v>
      </c>
      <c r="P183">
        <v>0</v>
      </c>
      <c r="Q183" t="str">
        <f>_xlfn.XLOOKUP(A183, patients!A:A, patients!B:B)</f>
        <v>M</v>
      </c>
      <c r="R183">
        <f>_xlfn.XLOOKUP(A183, patients!A:A, patients!C:C)</f>
        <v>60</v>
      </c>
      <c r="S183" t="str">
        <f t="shared" si="2"/>
        <v>50-70</v>
      </c>
      <c r="T183" s="1" t="str">
        <f>_xlfn.XLOOKUP(B183, diagnoses_icd!B:B, diagnoses_icd!D:D)</f>
        <v>Z794</v>
      </c>
    </row>
    <row r="184" spans="1:20" x14ac:dyDescent="0.2">
      <c r="A184">
        <v>10014354</v>
      </c>
      <c r="B184">
        <v>27494880</v>
      </c>
      <c r="C184" s="3">
        <v>90371.02916666666</v>
      </c>
      <c r="D184" s="3">
        <v>90371.625</v>
      </c>
      <c r="E184" s="3"/>
      <c r="F184" s="1" t="s">
        <v>186</v>
      </c>
      <c r="G184" s="1" t="s">
        <v>50</v>
      </c>
      <c r="H184" s="1" t="s">
        <v>97</v>
      </c>
      <c r="I184" s="1" t="s">
        <v>43</v>
      </c>
      <c r="J184" s="1" t="s">
        <v>47</v>
      </c>
      <c r="K184" s="1" t="s">
        <v>30</v>
      </c>
      <c r="L184" s="1" t="s">
        <v>31</v>
      </c>
      <c r="M184" s="1" t="s">
        <v>40</v>
      </c>
      <c r="N184" s="3">
        <v>90370.943750000006</v>
      </c>
      <c r="O184" s="3">
        <v>90371.412500000006</v>
      </c>
      <c r="P184">
        <v>0</v>
      </c>
      <c r="Q184" t="str">
        <f>_xlfn.XLOOKUP(A184, patients!A:A, patients!B:B)</f>
        <v>M</v>
      </c>
      <c r="R184">
        <f>_xlfn.XLOOKUP(A184, patients!A:A, patients!C:C)</f>
        <v>60</v>
      </c>
      <c r="S184" t="str">
        <f t="shared" si="2"/>
        <v>50-70</v>
      </c>
      <c r="T184" s="1" t="str">
        <f>_xlfn.XLOOKUP(B184, diagnoses_icd!B:B, diagnoses_icd!D:D)</f>
        <v>Z7902</v>
      </c>
    </row>
    <row r="185" spans="1:20" x14ac:dyDescent="0.2">
      <c r="A185">
        <v>10039708</v>
      </c>
      <c r="B185">
        <v>27504040</v>
      </c>
      <c r="C185" s="3">
        <v>88577.380555555559</v>
      </c>
      <c r="D185" s="3">
        <v>88578.694444444438</v>
      </c>
      <c r="E185" s="3"/>
      <c r="F185" s="1" t="s">
        <v>186</v>
      </c>
      <c r="G185" s="1" t="s">
        <v>118</v>
      </c>
      <c r="H185" s="1" t="s">
        <v>86</v>
      </c>
      <c r="I185" s="1" t="s">
        <v>43</v>
      </c>
      <c r="J185" s="1" t="s">
        <v>47</v>
      </c>
      <c r="K185" s="1" t="s">
        <v>30</v>
      </c>
      <c r="L185" s="1" t="s">
        <v>31</v>
      </c>
      <c r="M185" s="1" t="s">
        <v>62</v>
      </c>
      <c r="N185" s="3">
        <v>88577.306249999994</v>
      </c>
      <c r="O185" s="3">
        <v>88577.352083333331</v>
      </c>
      <c r="P185">
        <v>0</v>
      </c>
      <c r="Q185" t="str">
        <f>_xlfn.XLOOKUP(A185, patients!A:A, patients!B:B)</f>
        <v>F</v>
      </c>
      <c r="R185">
        <f>_xlfn.XLOOKUP(A185, patients!A:A, patients!C:C)</f>
        <v>46</v>
      </c>
      <c r="S185" t="str">
        <f t="shared" si="2"/>
        <v>30-50</v>
      </c>
      <c r="T185" s="1" t="str">
        <f>_xlfn.XLOOKUP(B185, diagnoses_icd!B:B, diagnoses_icd!D:D)</f>
        <v>F17210</v>
      </c>
    </row>
    <row r="186" spans="1:20" x14ac:dyDescent="0.2">
      <c r="A186">
        <v>10026406</v>
      </c>
      <c r="B186">
        <v>25166559</v>
      </c>
      <c r="C186" s="3">
        <v>85163.8125</v>
      </c>
      <c r="D186" s="3">
        <v>85166.711805555562</v>
      </c>
      <c r="E186" s="3"/>
      <c r="F186" s="1" t="s">
        <v>186</v>
      </c>
      <c r="G186" s="1" t="s">
        <v>197</v>
      </c>
      <c r="H186" s="1" t="s">
        <v>133</v>
      </c>
      <c r="I186" s="1" t="s">
        <v>43</v>
      </c>
      <c r="J186" s="1" t="s">
        <v>47</v>
      </c>
      <c r="K186" s="1" t="s">
        <v>30</v>
      </c>
      <c r="L186" s="1" t="s">
        <v>91</v>
      </c>
      <c r="M186" s="1" t="s">
        <v>40</v>
      </c>
      <c r="N186" s="3">
        <v>85163.695833333331</v>
      </c>
      <c r="O186" s="3">
        <v>85166.711805555562</v>
      </c>
      <c r="P186">
        <v>0</v>
      </c>
      <c r="Q186" t="str">
        <f>_xlfn.XLOOKUP(A186, patients!A:A, patients!B:B)</f>
        <v>M</v>
      </c>
      <c r="R186">
        <f>_xlfn.XLOOKUP(A186, patients!A:A, patients!C:C)</f>
        <v>45</v>
      </c>
      <c r="S186" t="str">
        <f t="shared" si="2"/>
        <v>30-50</v>
      </c>
      <c r="T186" s="1" t="str">
        <f>_xlfn.XLOOKUP(B186, diagnoses_icd!B:B, diagnoses_icd!D:D)</f>
        <v>F419</v>
      </c>
    </row>
    <row r="187" spans="1:20" x14ac:dyDescent="0.2">
      <c r="A187">
        <v>10037928</v>
      </c>
      <c r="B187">
        <v>22228639</v>
      </c>
      <c r="C187" s="3">
        <v>103581.16944444444</v>
      </c>
      <c r="D187" s="3">
        <v>103581.67152777778</v>
      </c>
      <c r="E187" s="3"/>
      <c r="F187" s="1" t="s">
        <v>186</v>
      </c>
      <c r="G187" s="1" t="s">
        <v>198</v>
      </c>
      <c r="H187" s="1" t="s">
        <v>86</v>
      </c>
      <c r="I187" s="1" t="s">
        <v>43</v>
      </c>
      <c r="J187" s="1" t="s">
        <v>39</v>
      </c>
      <c r="K187" s="1" t="s">
        <v>35</v>
      </c>
      <c r="L187" s="1" t="s">
        <v>48</v>
      </c>
      <c r="M187" s="1" t="s">
        <v>143</v>
      </c>
      <c r="N187" s="3">
        <v>103580.81041666666</v>
      </c>
      <c r="O187" s="3">
        <v>103581.67152777778</v>
      </c>
      <c r="P187">
        <v>0</v>
      </c>
      <c r="Q187" t="str">
        <f>_xlfn.XLOOKUP(A187, patients!A:A, patients!B:B)</f>
        <v>F</v>
      </c>
      <c r="R187">
        <f>_xlfn.XLOOKUP(A187, patients!A:A, patients!C:C)</f>
        <v>78</v>
      </c>
      <c r="S187" t="str">
        <f t="shared" si="2"/>
        <v>70+</v>
      </c>
      <c r="T187" s="1" t="str">
        <f>_xlfn.XLOOKUP(B187, diagnoses_icd!B:B, diagnoses_icd!D:D)</f>
        <v>S2232XA</v>
      </c>
    </row>
    <row r="188" spans="1:20" x14ac:dyDescent="0.2">
      <c r="A188">
        <v>10037928</v>
      </c>
      <c r="B188">
        <v>28543425</v>
      </c>
      <c r="C188" s="3">
        <v>100742.06319444445</v>
      </c>
      <c r="D188" s="3">
        <v>100742.53333333334</v>
      </c>
      <c r="E188" s="3"/>
      <c r="F188" s="1" t="s">
        <v>186</v>
      </c>
      <c r="G188" s="1" t="s">
        <v>199</v>
      </c>
      <c r="H188" s="1" t="s">
        <v>97</v>
      </c>
      <c r="I188" s="1" t="s">
        <v>43</v>
      </c>
      <c r="J188" s="1" t="s">
        <v>39</v>
      </c>
      <c r="K188" s="1" t="s">
        <v>35</v>
      </c>
      <c r="L188" s="1" t="s">
        <v>31</v>
      </c>
      <c r="M188" s="1" t="s">
        <v>200</v>
      </c>
      <c r="N188" s="3">
        <v>100741.82986111111</v>
      </c>
      <c r="O188" s="3">
        <v>100742.53333333334</v>
      </c>
      <c r="P188">
        <v>0</v>
      </c>
      <c r="Q188" t="str">
        <f>_xlfn.XLOOKUP(A188, patients!A:A, patients!B:B)</f>
        <v>F</v>
      </c>
      <c r="R188">
        <f>_xlfn.XLOOKUP(A188, patients!A:A, patients!C:C)</f>
        <v>78</v>
      </c>
      <c r="S188" t="str">
        <f t="shared" si="2"/>
        <v>70+</v>
      </c>
      <c r="T188" s="1" t="str">
        <f>_xlfn.XLOOKUP(B188, diagnoses_icd!B:B, diagnoses_icd!D:D)</f>
        <v>9243</v>
      </c>
    </row>
    <row r="189" spans="1:20" x14ac:dyDescent="0.2">
      <c r="A189">
        <v>10012853</v>
      </c>
      <c r="B189">
        <v>22896692</v>
      </c>
      <c r="C189" s="3">
        <v>101032.63680555555</v>
      </c>
      <c r="D189" s="3">
        <v>101032.73263888889</v>
      </c>
      <c r="E189" s="3"/>
      <c r="F189" s="1" t="s">
        <v>186</v>
      </c>
      <c r="G189" s="1" t="s">
        <v>187</v>
      </c>
      <c r="H189" s="1" t="s">
        <v>97</v>
      </c>
      <c r="I189" s="1" t="s">
        <v>43</v>
      </c>
      <c r="J189" s="1" t="s">
        <v>39</v>
      </c>
      <c r="K189" s="1" t="s">
        <v>30</v>
      </c>
      <c r="L189" s="1" t="s">
        <v>48</v>
      </c>
      <c r="M189" s="1" t="s">
        <v>62</v>
      </c>
      <c r="N189" s="3">
        <v>101032.35833333334</v>
      </c>
      <c r="O189" s="3">
        <v>101032.73263888889</v>
      </c>
      <c r="P189">
        <v>0</v>
      </c>
      <c r="Q189" t="str">
        <f>_xlfn.XLOOKUP(A189, patients!A:A, patients!B:B)</f>
        <v>F</v>
      </c>
      <c r="R189">
        <f>_xlfn.XLOOKUP(A189, patients!A:A, patients!C:C)</f>
        <v>91</v>
      </c>
      <c r="S189" t="str">
        <f t="shared" si="2"/>
        <v>70+</v>
      </c>
      <c r="T189" s="1" t="str">
        <f>_xlfn.XLOOKUP(B189, diagnoses_icd!B:B, diagnoses_icd!D:D)</f>
        <v>R319</v>
      </c>
    </row>
    <row r="190" spans="1:20" x14ac:dyDescent="0.2">
      <c r="A190">
        <v>10039997</v>
      </c>
      <c r="B190">
        <v>21390688</v>
      </c>
      <c r="C190" s="3">
        <v>86144.112500000003</v>
      </c>
      <c r="D190" s="3">
        <v>86144.268750000003</v>
      </c>
      <c r="E190" s="3"/>
      <c r="F190" s="1" t="s">
        <v>186</v>
      </c>
      <c r="G190" s="1" t="s">
        <v>201</v>
      </c>
      <c r="H190" s="1" t="s">
        <v>97</v>
      </c>
      <c r="I190" s="1" t="s">
        <v>43</v>
      </c>
      <c r="J190" s="1" t="s">
        <v>39</v>
      </c>
      <c r="K190" s="1" t="s">
        <v>30</v>
      </c>
      <c r="L190" s="1" t="s">
        <v>48</v>
      </c>
      <c r="M190" s="1" t="s">
        <v>62</v>
      </c>
      <c r="N190" s="3">
        <v>86143.905555555553</v>
      </c>
      <c r="O190" s="3">
        <v>86144.268750000003</v>
      </c>
      <c r="P190">
        <v>0</v>
      </c>
      <c r="Q190" t="str">
        <f>_xlfn.XLOOKUP(A190, patients!A:A, patients!B:B)</f>
        <v>F</v>
      </c>
      <c r="R190">
        <f>_xlfn.XLOOKUP(A190, patients!A:A, patients!C:C)</f>
        <v>67</v>
      </c>
      <c r="S190" t="str">
        <f t="shared" si="2"/>
        <v>50-70</v>
      </c>
      <c r="T190" s="1" t="str">
        <f>_xlfn.XLOOKUP(B190, diagnoses_icd!B:B, diagnoses_icd!D:D)</f>
        <v>I10</v>
      </c>
    </row>
    <row r="191" spans="1:20" x14ac:dyDescent="0.2">
      <c r="A191">
        <v>10020306</v>
      </c>
      <c r="B191">
        <v>26332470</v>
      </c>
      <c r="C191" s="3">
        <v>85228.23819444445</v>
      </c>
      <c r="D191" s="3">
        <v>85228.650694444441</v>
      </c>
      <c r="E191" s="3"/>
      <c r="F191" s="1" t="s">
        <v>186</v>
      </c>
      <c r="G191" s="1" t="s">
        <v>202</v>
      </c>
      <c r="H191" s="1" t="s">
        <v>178</v>
      </c>
      <c r="I191" s="1" t="s">
        <v>43</v>
      </c>
      <c r="J191" s="1" t="s">
        <v>39</v>
      </c>
      <c r="K191" s="1" t="s">
        <v>30</v>
      </c>
      <c r="L191" s="1" t="s">
        <v>48</v>
      </c>
      <c r="M191" s="1" t="s">
        <v>62</v>
      </c>
      <c r="N191" s="3">
        <v>85227.869444444441</v>
      </c>
      <c r="O191" s="3">
        <v>85228.650694444441</v>
      </c>
      <c r="P191">
        <v>0</v>
      </c>
      <c r="Q191" t="str">
        <f>_xlfn.XLOOKUP(A191, patients!A:A, patients!B:B)</f>
        <v>F</v>
      </c>
      <c r="R191">
        <f>_xlfn.XLOOKUP(A191, patients!A:A, patients!C:C)</f>
        <v>74</v>
      </c>
      <c r="S191" t="str">
        <f t="shared" si="2"/>
        <v>70+</v>
      </c>
      <c r="T191" s="1" t="str">
        <f>_xlfn.XLOOKUP(B191, diagnoses_icd!B:B, diagnoses_icd!D:D)</f>
        <v>I509</v>
      </c>
    </row>
    <row r="192" spans="1:20" x14ac:dyDescent="0.2">
      <c r="A192">
        <v>10002930</v>
      </c>
      <c r="B192">
        <v>25282382</v>
      </c>
      <c r="C192" s="3">
        <v>108586.08402777778</v>
      </c>
      <c r="D192" s="3">
        <v>108586.40833333334</v>
      </c>
      <c r="E192" s="3"/>
      <c r="F192" s="1" t="s">
        <v>186</v>
      </c>
      <c r="G192" s="1" t="s">
        <v>203</v>
      </c>
      <c r="H192" s="1" t="s">
        <v>97</v>
      </c>
      <c r="I192" s="1" t="s">
        <v>43</v>
      </c>
      <c r="J192" s="1" t="s">
        <v>39</v>
      </c>
      <c r="K192" s="1" t="s">
        <v>30</v>
      </c>
      <c r="L192" s="1" t="s">
        <v>31</v>
      </c>
      <c r="M192" s="1" t="s">
        <v>62</v>
      </c>
      <c r="N192" s="3">
        <v>108585.95625</v>
      </c>
      <c r="O192" s="3">
        <v>108586.40833333334</v>
      </c>
      <c r="P192">
        <v>0</v>
      </c>
      <c r="Q192" t="str">
        <f>_xlfn.XLOOKUP(A192, patients!A:A, patients!B:B)</f>
        <v>F</v>
      </c>
      <c r="R192">
        <f>_xlfn.XLOOKUP(A192, patients!A:A, patients!C:C)</f>
        <v>48</v>
      </c>
      <c r="S192" t="str">
        <f t="shared" si="2"/>
        <v>30-50</v>
      </c>
      <c r="T192" s="1" t="str">
        <f>_xlfn.XLOOKUP(B192, diagnoses_icd!B:B, diagnoses_icd!D:D)</f>
        <v>V620</v>
      </c>
    </row>
    <row r="193" spans="1:20" x14ac:dyDescent="0.2">
      <c r="A193">
        <v>10002930</v>
      </c>
      <c r="B193">
        <v>28697806</v>
      </c>
      <c r="C193" s="3">
        <v>109730.23819444445</v>
      </c>
      <c r="D193" s="3">
        <v>109730.43472222223</v>
      </c>
      <c r="E193" s="3"/>
      <c r="F193" s="1" t="s">
        <v>186</v>
      </c>
      <c r="G193" s="1" t="s">
        <v>204</v>
      </c>
      <c r="H193" s="1" t="s">
        <v>86</v>
      </c>
      <c r="I193" s="1" t="s">
        <v>43</v>
      </c>
      <c r="J193" s="1" t="s">
        <v>39</v>
      </c>
      <c r="K193" s="1" t="s">
        <v>30</v>
      </c>
      <c r="L193" s="1" t="s">
        <v>31</v>
      </c>
      <c r="M193" s="1" t="s">
        <v>62</v>
      </c>
      <c r="N193" s="3">
        <v>109729.69305555556</v>
      </c>
      <c r="O193" s="3">
        <v>109730.43472222223</v>
      </c>
      <c r="P193">
        <v>0</v>
      </c>
      <c r="Q193" t="str">
        <f>_xlfn.XLOOKUP(A193, patients!A:A, patients!B:B)</f>
        <v>F</v>
      </c>
      <c r="R193">
        <f>_xlfn.XLOOKUP(A193, patients!A:A, patients!C:C)</f>
        <v>48</v>
      </c>
      <c r="S193" t="str">
        <f t="shared" si="2"/>
        <v>30-50</v>
      </c>
      <c r="T193" s="1" t="str">
        <f>_xlfn.XLOOKUP(B193, diagnoses_icd!B:B, diagnoses_icd!D:D)</f>
        <v>E162</v>
      </c>
    </row>
    <row r="194" spans="1:20" x14ac:dyDescent="0.2">
      <c r="A194">
        <v>10002930</v>
      </c>
      <c r="B194">
        <v>20846853</v>
      </c>
      <c r="C194" s="3">
        <v>109982.70694444445</v>
      </c>
      <c r="D194" s="3">
        <v>109983.46597222223</v>
      </c>
      <c r="E194" s="3"/>
      <c r="F194" s="1" t="s">
        <v>186</v>
      </c>
      <c r="G194" s="1" t="s">
        <v>205</v>
      </c>
      <c r="H194" s="1" t="s">
        <v>86</v>
      </c>
      <c r="I194" s="1" t="s">
        <v>43</v>
      </c>
      <c r="J194" s="1" t="s">
        <v>39</v>
      </c>
      <c r="K194" s="1" t="s">
        <v>30</v>
      </c>
      <c r="L194" s="1" t="s">
        <v>31</v>
      </c>
      <c r="M194" s="1" t="s">
        <v>62</v>
      </c>
      <c r="N194" s="3">
        <v>109982.63263888888</v>
      </c>
      <c r="O194" s="3">
        <v>109983.46597222223</v>
      </c>
      <c r="P194">
        <v>0</v>
      </c>
      <c r="Q194" t="str">
        <f>_xlfn.XLOOKUP(A194, patients!A:A, patients!B:B)</f>
        <v>F</v>
      </c>
      <c r="R194">
        <f>_xlfn.XLOOKUP(A194, patients!A:A, patients!C:C)</f>
        <v>48</v>
      </c>
      <c r="S194" t="str">
        <f t="shared" ref="S194:S257" si="3">IF(R194&lt;30,"Under 30",
 IF(R194&lt;=50,"30-50",
 IF(R194&lt;=70,"50-70","70+")))</f>
        <v>30-50</v>
      </c>
      <c r="T194" s="1" t="str">
        <f>_xlfn.XLOOKUP(B194, diagnoses_icd!B:B, diagnoses_icd!D:D)</f>
        <v>B20</v>
      </c>
    </row>
    <row r="195" spans="1:20" x14ac:dyDescent="0.2">
      <c r="A195">
        <v>10002930</v>
      </c>
      <c r="B195">
        <v>22380825</v>
      </c>
      <c r="C195" s="3">
        <v>107235.2625</v>
      </c>
      <c r="D195" s="3">
        <v>107235.48888888888</v>
      </c>
      <c r="E195" s="3"/>
      <c r="F195" s="1" t="s">
        <v>186</v>
      </c>
      <c r="G195" s="1" t="s">
        <v>206</v>
      </c>
      <c r="H195" s="1" t="s">
        <v>97</v>
      </c>
      <c r="I195" s="1" t="s">
        <v>43</v>
      </c>
      <c r="J195" s="1" t="s">
        <v>39</v>
      </c>
      <c r="K195" s="1" t="s">
        <v>30</v>
      </c>
      <c r="L195" s="1" t="s">
        <v>31</v>
      </c>
      <c r="M195" s="1" t="s">
        <v>62</v>
      </c>
      <c r="N195" s="3">
        <v>107235.21111111112</v>
      </c>
      <c r="O195" s="3">
        <v>107235.5</v>
      </c>
      <c r="P195">
        <v>0</v>
      </c>
      <c r="Q195" t="str">
        <f>_xlfn.XLOOKUP(A195, patients!A:A, patients!B:B)</f>
        <v>F</v>
      </c>
      <c r="R195">
        <f>_xlfn.XLOOKUP(A195, patients!A:A, patients!C:C)</f>
        <v>48</v>
      </c>
      <c r="S195" t="str">
        <f t="shared" si="3"/>
        <v>30-50</v>
      </c>
      <c r="T195" s="1" t="str">
        <f>_xlfn.XLOOKUP(B195, diagnoses_icd!B:B, diagnoses_icd!D:D)</f>
        <v>V620</v>
      </c>
    </row>
    <row r="196" spans="1:20" x14ac:dyDescent="0.2">
      <c r="A196">
        <v>10002930</v>
      </c>
      <c r="B196">
        <v>23720373</v>
      </c>
      <c r="C196" s="3">
        <v>109257.90625</v>
      </c>
      <c r="D196" s="3">
        <v>109259.56805555556</v>
      </c>
      <c r="E196" s="3"/>
      <c r="F196" s="1" t="s">
        <v>186</v>
      </c>
      <c r="G196" s="1" t="s">
        <v>207</v>
      </c>
      <c r="H196" s="1" t="s">
        <v>97</v>
      </c>
      <c r="I196" s="1" t="s">
        <v>43</v>
      </c>
      <c r="J196" s="1" t="s">
        <v>39</v>
      </c>
      <c r="K196" s="1" t="s">
        <v>30</v>
      </c>
      <c r="L196" s="1" t="s">
        <v>31</v>
      </c>
      <c r="M196" s="1" t="s">
        <v>62</v>
      </c>
      <c r="N196" s="3">
        <v>109257.60555555555</v>
      </c>
      <c r="O196" s="3">
        <v>109259.56805555556</v>
      </c>
      <c r="P196">
        <v>0</v>
      </c>
      <c r="Q196" t="str">
        <f>_xlfn.XLOOKUP(A196, patients!A:A, patients!B:B)</f>
        <v>F</v>
      </c>
      <c r="R196">
        <f>_xlfn.XLOOKUP(A196, patients!A:A, patients!C:C)</f>
        <v>48</v>
      </c>
      <c r="S196" t="str">
        <f t="shared" si="3"/>
        <v>30-50</v>
      </c>
      <c r="T196" s="1" t="str">
        <f>_xlfn.XLOOKUP(B196, diagnoses_icd!B:B, diagnoses_icd!D:D)</f>
        <v>F39</v>
      </c>
    </row>
    <row r="197" spans="1:20" x14ac:dyDescent="0.2">
      <c r="A197">
        <v>10002930</v>
      </c>
      <c r="B197">
        <v>20282368</v>
      </c>
      <c r="C197" s="3">
        <v>110021.80208333333</v>
      </c>
      <c r="D197" s="3">
        <v>110024.6</v>
      </c>
      <c r="E197" s="3"/>
      <c r="F197" s="1" t="s">
        <v>186</v>
      </c>
      <c r="G197" s="1" t="s">
        <v>198</v>
      </c>
      <c r="H197" s="1" t="s">
        <v>86</v>
      </c>
      <c r="I197" s="1" t="s">
        <v>43</v>
      </c>
      <c r="J197" s="1" t="s">
        <v>39</v>
      </c>
      <c r="K197" s="1" t="s">
        <v>30</v>
      </c>
      <c r="L197" s="1" t="s">
        <v>31</v>
      </c>
      <c r="M197" s="1" t="s">
        <v>62</v>
      </c>
      <c r="N197" s="3">
        <v>110021.50277777777</v>
      </c>
      <c r="O197" s="3">
        <v>110024.6</v>
      </c>
      <c r="P197">
        <v>0</v>
      </c>
      <c r="Q197" t="str">
        <f>_xlfn.XLOOKUP(A197, patients!A:A, patients!B:B)</f>
        <v>F</v>
      </c>
      <c r="R197">
        <f>_xlfn.XLOOKUP(A197, patients!A:A, patients!C:C)</f>
        <v>48</v>
      </c>
      <c r="S197" t="str">
        <f t="shared" si="3"/>
        <v>30-50</v>
      </c>
      <c r="T197" s="1" t="str">
        <f>_xlfn.XLOOKUP(B197, diagnoses_icd!B:B, diagnoses_icd!D:D)</f>
        <v>M542</v>
      </c>
    </row>
    <row r="198" spans="1:20" x14ac:dyDescent="0.2">
      <c r="A198">
        <v>10002930</v>
      </c>
      <c r="B198">
        <v>28477649</v>
      </c>
      <c r="C198" s="3">
        <v>108576.28888888888</v>
      </c>
      <c r="D198" s="3">
        <v>108577.81736111111</v>
      </c>
      <c r="E198" s="3"/>
      <c r="F198" s="1" t="s">
        <v>186</v>
      </c>
      <c r="G198" s="1" t="s">
        <v>208</v>
      </c>
      <c r="H198" s="1" t="s">
        <v>97</v>
      </c>
      <c r="I198" s="1" t="s">
        <v>43</v>
      </c>
      <c r="J198" s="1" t="s">
        <v>39</v>
      </c>
      <c r="K198" s="1" t="s">
        <v>30</v>
      </c>
      <c r="L198" s="1" t="s">
        <v>31</v>
      </c>
      <c r="M198" s="1" t="s">
        <v>62</v>
      </c>
      <c r="N198" s="3">
        <v>108576.13888888889</v>
      </c>
      <c r="O198" s="3">
        <v>108577.84305555555</v>
      </c>
      <c r="P198">
        <v>0</v>
      </c>
      <c r="Q198" t="str">
        <f>_xlfn.XLOOKUP(A198, patients!A:A, patients!B:B)</f>
        <v>F</v>
      </c>
      <c r="R198">
        <f>_xlfn.XLOOKUP(A198, patients!A:A, patients!C:C)</f>
        <v>48</v>
      </c>
      <c r="S198" t="str">
        <f t="shared" si="3"/>
        <v>30-50</v>
      </c>
      <c r="T198" s="1" t="str">
        <f>_xlfn.XLOOKUP(B198, diagnoses_icd!B:B, diagnoses_icd!D:D)</f>
        <v>V08</v>
      </c>
    </row>
    <row r="199" spans="1:20" x14ac:dyDescent="0.2">
      <c r="A199">
        <v>10002428</v>
      </c>
      <c r="B199">
        <v>28676446</v>
      </c>
      <c r="C199" s="3">
        <v>94066.172916666663</v>
      </c>
      <c r="D199" s="3">
        <v>94068.700694444444</v>
      </c>
      <c r="E199" s="3"/>
      <c r="F199" s="1" t="s">
        <v>186</v>
      </c>
      <c r="G199" s="1" t="s">
        <v>209</v>
      </c>
      <c r="H199" s="1" t="s">
        <v>97</v>
      </c>
      <c r="I199" s="1" t="s">
        <v>43</v>
      </c>
      <c r="J199" s="1" t="s">
        <v>39</v>
      </c>
      <c r="K199" s="1" t="s">
        <v>30</v>
      </c>
      <c r="L199" s="1" t="s">
        <v>48</v>
      </c>
      <c r="M199" s="1" t="s">
        <v>40</v>
      </c>
      <c r="N199" s="3">
        <v>94066.076388888891</v>
      </c>
      <c r="O199" s="3">
        <v>94066.410416666666</v>
      </c>
      <c r="P199">
        <v>0</v>
      </c>
      <c r="Q199" t="str">
        <f>_xlfn.XLOOKUP(A199, patients!A:A, patients!B:B)</f>
        <v>F</v>
      </c>
      <c r="R199">
        <f>_xlfn.XLOOKUP(A199, patients!A:A, patients!C:C)</f>
        <v>80</v>
      </c>
      <c r="S199" t="str">
        <f t="shared" si="3"/>
        <v>70+</v>
      </c>
      <c r="T199" s="1" t="str">
        <f>_xlfn.XLOOKUP(B199, diagnoses_icd!B:B, diagnoses_icd!D:D)</f>
        <v>4019</v>
      </c>
    </row>
    <row r="200" spans="1:20" x14ac:dyDescent="0.2">
      <c r="A200">
        <v>10002428</v>
      </c>
      <c r="B200">
        <v>25797028</v>
      </c>
      <c r="C200" s="3">
        <v>93333.802083333328</v>
      </c>
      <c r="D200" s="3">
        <v>93334.775694444441</v>
      </c>
      <c r="E200" s="3"/>
      <c r="F200" s="1" t="s">
        <v>186</v>
      </c>
      <c r="G200" s="1" t="s">
        <v>175</v>
      </c>
      <c r="H200" s="1" t="s">
        <v>97</v>
      </c>
      <c r="I200" s="1" t="s">
        <v>43</v>
      </c>
      <c r="J200" s="1" t="s">
        <v>39</v>
      </c>
      <c r="K200" s="1" t="s">
        <v>30</v>
      </c>
      <c r="L200" s="1" t="s">
        <v>48</v>
      </c>
      <c r="M200" s="1" t="s">
        <v>40</v>
      </c>
      <c r="N200" s="3">
        <v>93333.70694444445</v>
      </c>
      <c r="O200" s="3">
        <v>93333.836111111115</v>
      </c>
      <c r="P200">
        <v>0</v>
      </c>
      <c r="Q200" t="str">
        <f>_xlfn.XLOOKUP(A200, patients!A:A, patients!B:B)</f>
        <v>F</v>
      </c>
      <c r="R200">
        <f>_xlfn.XLOOKUP(A200, patients!A:A, patients!C:C)</f>
        <v>80</v>
      </c>
      <c r="S200" t="str">
        <f t="shared" si="3"/>
        <v>70+</v>
      </c>
      <c r="T200" s="1" t="str">
        <f>_xlfn.XLOOKUP(B200, diagnoses_icd!B:B, diagnoses_icd!D:D)</f>
        <v>5990</v>
      </c>
    </row>
    <row r="201" spans="1:20" x14ac:dyDescent="0.2">
      <c r="A201">
        <v>10002428</v>
      </c>
      <c r="B201">
        <v>26549334</v>
      </c>
      <c r="C201" s="3">
        <v>95161.984027777784</v>
      </c>
      <c r="D201" s="3">
        <v>95162.784027777772</v>
      </c>
      <c r="E201" s="3"/>
      <c r="F201" s="1" t="s">
        <v>186</v>
      </c>
      <c r="G201" s="1" t="s">
        <v>191</v>
      </c>
      <c r="H201" s="1" t="s">
        <v>97</v>
      </c>
      <c r="I201" s="1" t="s">
        <v>43</v>
      </c>
      <c r="J201" s="1" t="s">
        <v>39</v>
      </c>
      <c r="K201" s="1" t="s">
        <v>30</v>
      </c>
      <c r="L201" s="1" t="s">
        <v>48</v>
      </c>
      <c r="M201" s="1" t="s">
        <v>40</v>
      </c>
      <c r="N201" s="3">
        <v>95161.731944444444</v>
      </c>
      <c r="O201" s="3">
        <v>95162.784027777772</v>
      </c>
      <c r="P201">
        <v>0</v>
      </c>
      <c r="Q201" t="str">
        <f>_xlfn.XLOOKUP(A201, patients!A:A, patients!B:B)</f>
        <v>F</v>
      </c>
      <c r="R201">
        <f>_xlfn.XLOOKUP(A201, patients!A:A, patients!C:C)</f>
        <v>80</v>
      </c>
      <c r="S201" t="str">
        <f t="shared" si="3"/>
        <v>70+</v>
      </c>
      <c r="T201" s="1" t="str">
        <f>_xlfn.XLOOKUP(B201, diagnoses_icd!B:B, diagnoses_icd!D:D)</f>
        <v>S79912A</v>
      </c>
    </row>
    <row r="202" spans="1:20" x14ac:dyDescent="0.2">
      <c r="A202">
        <v>10018328</v>
      </c>
      <c r="B202">
        <v>26706939</v>
      </c>
      <c r="C202" s="3">
        <v>92809.915277777778</v>
      </c>
      <c r="D202" s="3">
        <v>92813.635416666672</v>
      </c>
      <c r="E202" s="3"/>
      <c r="F202" s="1" t="s">
        <v>210</v>
      </c>
      <c r="G202" s="1" t="s">
        <v>38</v>
      </c>
      <c r="H202" s="1" t="s">
        <v>27</v>
      </c>
      <c r="I202" s="1" t="s">
        <v>34</v>
      </c>
      <c r="J202" s="1" t="s">
        <v>47</v>
      </c>
      <c r="K202" s="1" t="s">
        <v>30</v>
      </c>
      <c r="L202" s="1" t="s">
        <v>91</v>
      </c>
      <c r="M202" s="1" t="s">
        <v>40</v>
      </c>
      <c r="N202" s="3">
        <v>92809.714583333334</v>
      </c>
      <c r="O202" s="3">
        <v>92809.954166666663</v>
      </c>
      <c r="P202">
        <v>0</v>
      </c>
      <c r="Q202" t="str">
        <f>_xlfn.XLOOKUP(A202, patients!A:A, patients!B:B)</f>
        <v>F</v>
      </c>
      <c r="R202">
        <f>_xlfn.XLOOKUP(A202, patients!A:A, patients!C:C)</f>
        <v>83</v>
      </c>
      <c r="S202" t="str">
        <f t="shared" si="3"/>
        <v>70+</v>
      </c>
      <c r="T202" s="1" t="str">
        <f>_xlfn.XLOOKUP(B202, diagnoses_icd!B:B, diagnoses_icd!D:D)</f>
        <v>G4700</v>
      </c>
    </row>
    <row r="203" spans="1:20" x14ac:dyDescent="0.2">
      <c r="A203">
        <v>10005817</v>
      </c>
      <c r="B203">
        <v>28661809</v>
      </c>
      <c r="C203" s="3">
        <v>85836.912500000006</v>
      </c>
      <c r="D203" s="3">
        <v>85852.774999999994</v>
      </c>
      <c r="E203" s="3">
        <v>85852.774999999994</v>
      </c>
      <c r="F203" s="1" t="s">
        <v>210</v>
      </c>
      <c r="G203" s="1" t="s">
        <v>58</v>
      </c>
      <c r="H203" s="1" t="s">
        <v>27</v>
      </c>
      <c r="I203" s="1" t="s">
        <v>42</v>
      </c>
      <c r="J203" s="1" t="s">
        <v>39</v>
      </c>
      <c r="K203" s="1" t="s">
        <v>30</v>
      </c>
      <c r="L203" s="1" t="s">
        <v>36</v>
      </c>
      <c r="M203" s="1" t="s">
        <v>40</v>
      </c>
      <c r="N203" s="3"/>
      <c r="O203" s="3"/>
      <c r="P203">
        <v>1</v>
      </c>
      <c r="Q203" t="str">
        <f>_xlfn.XLOOKUP(A203, patients!A:A, patients!B:B)</f>
        <v>M</v>
      </c>
      <c r="R203">
        <f>_xlfn.XLOOKUP(A203, patients!A:A, patients!C:C)</f>
        <v>66</v>
      </c>
      <c r="S203" t="str">
        <f t="shared" si="3"/>
        <v>50-70</v>
      </c>
      <c r="T203" s="1" t="str">
        <f>_xlfn.XLOOKUP(B203, diagnoses_icd!B:B, diagnoses_icd!D:D)</f>
        <v>C7B8</v>
      </c>
    </row>
    <row r="204" spans="1:20" x14ac:dyDescent="0.2">
      <c r="A204">
        <v>10019385</v>
      </c>
      <c r="B204">
        <v>20611796</v>
      </c>
      <c r="C204" s="3">
        <v>102333.05277777778</v>
      </c>
      <c r="D204" s="3">
        <v>102335.77222222222</v>
      </c>
      <c r="E204" s="3"/>
      <c r="F204" s="1" t="s">
        <v>210</v>
      </c>
      <c r="G204" s="1" t="s">
        <v>211</v>
      </c>
      <c r="H204" s="1" t="s">
        <v>97</v>
      </c>
      <c r="I204" s="1" t="s">
        <v>34</v>
      </c>
      <c r="J204" s="1" t="s">
        <v>47</v>
      </c>
      <c r="K204" s="1" t="s">
        <v>30</v>
      </c>
      <c r="L204" s="1" t="s">
        <v>36</v>
      </c>
      <c r="M204" s="1" t="s">
        <v>40</v>
      </c>
      <c r="N204" s="3">
        <v>102332.85138888888</v>
      </c>
      <c r="O204" s="3">
        <v>102333.1</v>
      </c>
      <c r="P204">
        <v>0</v>
      </c>
      <c r="Q204" t="str">
        <f>_xlfn.XLOOKUP(A204, patients!A:A, patients!B:B)</f>
        <v>M</v>
      </c>
      <c r="R204">
        <f>_xlfn.XLOOKUP(A204, patients!A:A, patients!C:C)</f>
        <v>44</v>
      </c>
      <c r="S204" t="str">
        <f t="shared" si="3"/>
        <v>30-50</v>
      </c>
      <c r="T204" s="1" t="str">
        <f>_xlfn.XLOOKUP(B204, diagnoses_icd!B:B, diagnoses_icd!D:D)</f>
        <v>Z951</v>
      </c>
    </row>
    <row r="205" spans="1:20" x14ac:dyDescent="0.2">
      <c r="A205">
        <v>10020187</v>
      </c>
      <c r="B205">
        <v>24104168</v>
      </c>
      <c r="C205" s="3">
        <v>98267.169444444444</v>
      </c>
      <c r="D205" s="3">
        <v>98276.722222222219</v>
      </c>
      <c r="E205" s="3"/>
      <c r="F205" s="1" t="s">
        <v>210</v>
      </c>
      <c r="G205" s="1" t="s">
        <v>212</v>
      </c>
      <c r="H205" s="1" t="s">
        <v>97</v>
      </c>
      <c r="I205" s="1" t="s">
        <v>34</v>
      </c>
      <c r="J205" s="1" t="s">
        <v>47</v>
      </c>
      <c r="K205" s="1" t="s">
        <v>35</v>
      </c>
      <c r="L205" s="1" t="s">
        <v>36</v>
      </c>
      <c r="M205" s="1" t="s">
        <v>87</v>
      </c>
      <c r="N205" s="3">
        <v>98266.976388888885</v>
      </c>
      <c r="O205" s="3">
        <v>98267.205555555556</v>
      </c>
      <c r="P205">
        <v>0</v>
      </c>
      <c r="Q205" t="str">
        <f>_xlfn.XLOOKUP(A205, patients!A:A, patients!B:B)</f>
        <v>F</v>
      </c>
      <c r="R205">
        <f>_xlfn.XLOOKUP(A205, patients!A:A, patients!C:C)</f>
        <v>63</v>
      </c>
      <c r="S205" t="str">
        <f t="shared" si="3"/>
        <v>50-70</v>
      </c>
      <c r="T205" s="1" t="str">
        <f>_xlfn.XLOOKUP(B205, diagnoses_icd!B:B, diagnoses_icd!D:D)</f>
        <v>E780</v>
      </c>
    </row>
    <row r="206" spans="1:20" x14ac:dyDescent="0.2">
      <c r="A206">
        <v>10010471</v>
      </c>
      <c r="B206">
        <v>21322534</v>
      </c>
      <c r="C206" s="3">
        <v>93266.711805555562</v>
      </c>
      <c r="D206" s="3">
        <v>93268.788194444438</v>
      </c>
      <c r="E206" s="3"/>
      <c r="F206" s="1" t="s">
        <v>210</v>
      </c>
      <c r="G206" s="1" t="s">
        <v>213</v>
      </c>
      <c r="H206" s="1" t="s">
        <v>97</v>
      </c>
      <c r="I206" s="1" t="s">
        <v>46</v>
      </c>
      <c r="J206" s="1" t="s">
        <v>39</v>
      </c>
      <c r="K206" s="1" t="s">
        <v>30</v>
      </c>
      <c r="L206" s="1" t="s">
        <v>48</v>
      </c>
      <c r="M206" s="1" t="s">
        <v>40</v>
      </c>
      <c r="N206" s="3">
        <v>93266.574999999997</v>
      </c>
      <c r="O206" s="3">
        <v>93266.761111111118</v>
      </c>
      <c r="P206">
        <v>0</v>
      </c>
      <c r="Q206" t="str">
        <f>_xlfn.XLOOKUP(A206, patients!A:A, patients!B:B)</f>
        <v>F</v>
      </c>
      <c r="R206">
        <f>_xlfn.XLOOKUP(A206, patients!A:A, patients!C:C)</f>
        <v>89</v>
      </c>
      <c r="S206" t="str">
        <f t="shared" si="3"/>
        <v>70+</v>
      </c>
      <c r="T206" s="1" t="str">
        <f>_xlfn.XLOOKUP(B206, diagnoses_icd!B:B, diagnoses_icd!D:D)</f>
        <v>Z7682</v>
      </c>
    </row>
    <row r="207" spans="1:20" x14ac:dyDescent="0.2">
      <c r="A207">
        <v>10005866</v>
      </c>
      <c r="B207">
        <v>22589518</v>
      </c>
      <c r="C207" s="3">
        <v>90989.909027777772</v>
      </c>
      <c r="D207" s="3">
        <v>90992.697916666672</v>
      </c>
      <c r="E207" s="3"/>
      <c r="F207" s="1" t="s">
        <v>210</v>
      </c>
      <c r="G207" s="1" t="s">
        <v>63</v>
      </c>
      <c r="H207" s="1" t="s">
        <v>97</v>
      </c>
      <c r="I207" s="1" t="s">
        <v>46</v>
      </c>
      <c r="J207" s="1" t="s">
        <v>29</v>
      </c>
      <c r="K207" s="1" t="s">
        <v>30</v>
      </c>
      <c r="L207" s="1" t="s">
        <v>31</v>
      </c>
      <c r="M207" s="1" t="s">
        <v>116</v>
      </c>
      <c r="N207" s="3">
        <v>90989.369444444441</v>
      </c>
      <c r="O207" s="3">
        <v>90989.964583333334</v>
      </c>
      <c r="P207">
        <v>0</v>
      </c>
      <c r="Q207" t="str">
        <f>_xlfn.XLOOKUP(A207, patients!A:A, patients!B:B)</f>
        <v>M</v>
      </c>
      <c r="R207">
        <f>_xlfn.XLOOKUP(A207, patients!A:A, patients!C:C)</f>
        <v>57</v>
      </c>
      <c r="S207" t="str">
        <f t="shared" si="3"/>
        <v>50-70</v>
      </c>
      <c r="T207" s="1" t="str">
        <f>_xlfn.XLOOKUP(B207, diagnoses_icd!B:B, diagnoses_icd!D:D)</f>
        <v>E872</v>
      </c>
    </row>
    <row r="208" spans="1:20" x14ac:dyDescent="0.2">
      <c r="A208">
        <v>10005866</v>
      </c>
      <c r="B208">
        <v>21636229</v>
      </c>
      <c r="C208" s="3">
        <v>91210.604166666672</v>
      </c>
      <c r="D208" s="3">
        <v>91216.628472222219</v>
      </c>
      <c r="E208" s="3"/>
      <c r="F208" s="1" t="s">
        <v>210</v>
      </c>
      <c r="G208" s="1" t="s">
        <v>90</v>
      </c>
      <c r="H208" s="1" t="s">
        <v>97</v>
      </c>
      <c r="I208" s="1" t="s">
        <v>46</v>
      </c>
      <c r="J208" s="1" t="s">
        <v>29</v>
      </c>
      <c r="K208" s="1" t="s">
        <v>30</v>
      </c>
      <c r="L208" s="1" t="s">
        <v>31</v>
      </c>
      <c r="M208" s="1" t="s">
        <v>116</v>
      </c>
      <c r="N208" s="3">
        <v>91210.243055555562</v>
      </c>
      <c r="O208" s="3">
        <v>91210.661805555559</v>
      </c>
      <c r="P208">
        <v>0</v>
      </c>
      <c r="Q208" t="str">
        <f>_xlfn.XLOOKUP(A208, patients!A:A, patients!B:B)</f>
        <v>M</v>
      </c>
      <c r="R208">
        <f>_xlfn.XLOOKUP(A208, patients!A:A, patients!C:C)</f>
        <v>57</v>
      </c>
      <c r="S208" t="str">
        <f t="shared" si="3"/>
        <v>50-70</v>
      </c>
      <c r="T208" s="1" t="str">
        <f>_xlfn.XLOOKUP(B208, diagnoses_icd!B:B, diagnoses_icd!D:D)</f>
        <v>Z6820</v>
      </c>
    </row>
    <row r="209" spans="1:20" x14ac:dyDescent="0.2">
      <c r="A209">
        <v>10005866</v>
      </c>
      <c r="B209">
        <v>23514107</v>
      </c>
      <c r="C209" s="3">
        <v>91118.81041666666</v>
      </c>
      <c r="D209" s="3">
        <v>91123.663194444438</v>
      </c>
      <c r="E209" s="3"/>
      <c r="F209" s="1" t="s">
        <v>210</v>
      </c>
      <c r="G209" s="1" t="s">
        <v>115</v>
      </c>
      <c r="H209" s="1" t="s">
        <v>97</v>
      </c>
      <c r="I209" s="1" t="s">
        <v>46</v>
      </c>
      <c r="J209" s="1" t="s">
        <v>29</v>
      </c>
      <c r="K209" s="1" t="s">
        <v>30</v>
      </c>
      <c r="L209" s="1" t="s">
        <v>31</v>
      </c>
      <c r="M209" s="1" t="s">
        <v>116</v>
      </c>
      <c r="N209" s="3">
        <v>91118.430555555562</v>
      </c>
      <c r="O209" s="3">
        <v>91118.874305555553</v>
      </c>
      <c r="P209">
        <v>0</v>
      </c>
      <c r="Q209" t="str">
        <f>_xlfn.XLOOKUP(A209, patients!A:A, patients!B:B)</f>
        <v>M</v>
      </c>
      <c r="R209">
        <f>_xlfn.XLOOKUP(A209, patients!A:A, patients!C:C)</f>
        <v>57</v>
      </c>
      <c r="S209" t="str">
        <f t="shared" si="3"/>
        <v>50-70</v>
      </c>
      <c r="T209" s="1" t="str">
        <f>_xlfn.XLOOKUP(B209, diagnoses_icd!B:B, diagnoses_icd!D:D)</f>
        <v>K766</v>
      </c>
    </row>
    <row r="210" spans="1:20" x14ac:dyDescent="0.2">
      <c r="A210">
        <v>10005866</v>
      </c>
      <c r="B210">
        <v>20364112</v>
      </c>
      <c r="C210" s="3">
        <v>91221.788888888885</v>
      </c>
      <c r="D210" s="3">
        <v>91245.784722222219</v>
      </c>
      <c r="E210" s="3"/>
      <c r="F210" s="1" t="s">
        <v>210</v>
      </c>
      <c r="G210" s="1" t="s">
        <v>118</v>
      </c>
      <c r="H210" s="1" t="s">
        <v>86</v>
      </c>
      <c r="I210" s="1" t="s">
        <v>28</v>
      </c>
      <c r="J210" s="1" t="s">
        <v>29</v>
      </c>
      <c r="K210" s="1" t="s">
        <v>30</v>
      </c>
      <c r="L210" s="1" t="s">
        <v>31</v>
      </c>
      <c r="M210" s="1" t="s">
        <v>116</v>
      </c>
      <c r="N210" s="3">
        <v>91221.088194444441</v>
      </c>
      <c r="O210" s="3">
        <v>91221.665972222225</v>
      </c>
      <c r="P210">
        <v>0</v>
      </c>
      <c r="Q210" t="str">
        <f>_xlfn.XLOOKUP(A210, patients!A:A, patients!B:B)</f>
        <v>M</v>
      </c>
      <c r="R210">
        <f>_xlfn.XLOOKUP(A210, patients!A:A, patients!C:C)</f>
        <v>57</v>
      </c>
      <c r="S210" t="str">
        <f t="shared" si="3"/>
        <v>50-70</v>
      </c>
      <c r="T210" s="1" t="str">
        <f>_xlfn.XLOOKUP(B210, diagnoses_icd!B:B, diagnoses_icd!D:D)</f>
        <v>K766</v>
      </c>
    </row>
    <row r="211" spans="1:20" x14ac:dyDescent="0.2">
      <c r="A211">
        <v>10015860</v>
      </c>
      <c r="B211">
        <v>25103777</v>
      </c>
      <c r="C211" s="3">
        <v>106865.67013888889</v>
      </c>
      <c r="D211" s="3">
        <v>106871.69236111111</v>
      </c>
      <c r="E211" s="3"/>
      <c r="F211" s="1" t="s">
        <v>210</v>
      </c>
      <c r="G211" s="1" t="s">
        <v>214</v>
      </c>
      <c r="H211" s="1" t="s">
        <v>57</v>
      </c>
      <c r="I211" s="1" t="s">
        <v>28</v>
      </c>
      <c r="J211" s="1" t="s">
        <v>47</v>
      </c>
      <c r="K211" s="1" t="s">
        <v>30</v>
      </c>
      <c r="L211" s="1" t="s">
        <v>31</v>
      </c>
      <c r="M211" s="1" t="s">
        <v>40</v>
      </c>
      <c r="N211" s="3">
        <v>106865.45833333333</v>
      </c>
      <c r="O211" s="3">
        <v>106865.71527777778</v>
      </c>
      <c r="P211">
        <v>0</v>
      </c>
      <c r="Q211" t="str">
        <f>_xlfn.XLOOKUP(A211, patients!A:A, patients!B:B)</f>
        <v>M</v>
      </c>
      <c r="R211">
        <f>_xlfn.XLOOKUP(A211, patients!A:A, patients!C:C)</f>
        <v>53</v>
      </c>
      <c r="S211" t="str">
        <f t="shared" si="3"/>
        <v>50-70</v>
      </c>
      <c r="T211" s="1" t="str">
        <f>_xlfn.XLOOKUP(B211, diagnoses_icd!B:B, diagnoses_icd!D:D)</f>
        <v>T827XXA</v>
      </c>
    </row>
    <row r="212" spans="1:20" x14ac:dyDescent="0.2">
      <c r="A212">
        <v>10015860</v>
      </c>
      <c r="B212">
        <v>22413744</v>
      </c>
      <c r="C212" s="3">
        <v>106302.07986111111</v>
      </c>
      <c r="D212" s="3">
        <v>106317.71458333333</v>
      </c>
      <c r="E212" s="3"/>
      <c r="F212" s="1" t="s">
        <v>210</v>
      </c>
      <c r="G212" s="1" t="s">
        <v>79</v>
      </c>
      <c r="H212" s="1" t="s">
        <v>97</v>
      </c>
      <c r="I212" s="1" t="s">
        <v>28</v>
      </c>
      <c r="J212" s="1" t="s">
        <v>47</v>
      </c>
      <c r="K212" s="1" t="s">
        <v>30</v>
      </c>
      <c r="L212" s="1" t="s">
        <v>31</v>
      </c>
      <c r="M212" s="1" t="s">
        <v>40</v>
      </c>
      <c r="N212" s="3">
        <v>106301.8875</v>
      </c>
      <c r="O212" s="3">
        <v>106302.13888888889</v>
      </c>
      <c r="P212">
        <v>0</v>
      </c>
      <c r="Q212" t="str">
        <f>_xlfn.XLOOKUP(A212, patients!A:A, patients!B:B)</f>
        <v>M</v>
      </c>
      <c r="R212">
        <f>_xlfn.XLOOKUP(A212, patients!A:A, patients!C:C)</f>
        <v>53</v>
      </c>
      <c r="S212" t="str">
        <f t="shared" si="3"/>
        <v>50-70</v>
      </c>
      <c r="T212" s="1" t="str">
        <f>_xlfn.XLOOKUP(B212, diagnoses_icd!B:B, diagnoses_icd!D:D)</f>
        <v>I129</v>
      </c>
    </row>
    <row r="213" spans="1:20" x14ac:dyDescent="0.2">
      <c r="A213">
        <v>10015860</v>
      </c>
      <c r="B213">
        <v>28196804</v>
      </c>
      <c r="C213" s="3">
        <v>107345.80208333333</v>
      </c>
      <c r="D213" s="3">
        <v>107349.91527777778</v>
      </c>
      <c r="E213" s="3"/>
      <c r="F213" s="1" t="s">
        <v>210</v>
      </c>
      <c r="G213" s="1" t="s">
        <v>215</v>
      </c>
      <c r="H213" s="1" t="s">
        <v>133</v>
      </c>
      <c r="I213" s="1" t="s">
        <v>28</v>
      </c>
      <c r="J213" s="1" t="s">
        <v>47</v>
      </c>
      <c r="K213" s="1" t="s">
        <v>30</v>
      </c>
      <c r="L213" s="1" t="s">
        <v>31</v>
      </c>
      <c r="M213" s="1" t="s">
        <v>40</v>
      </c>
      <c r="N213" s="3">
        <v>107345.52638888889</v>
      </c>
      <c r="O213" s="3">
        <v>107345.87430555555</v>
      </c>
      <c r="P213">
        <v>0</v>
      </c>
      <c r="Q213" t="str">
        <f>_xlfn.XLOOKUP(A213, patients!A:A, patients!B:B)</f>
        <v>M</v>
      </c>
      <c r="R213">
        <f>_xlfn.XLOOKUP(A213, patients!A:A, patients!C:C)</f>
        <v>53</v>
      </c>
      <c r="S213" t="str">
        <f t="shared" si="3"/>
        <v>50-70</v>
      </c>
      <c r="T213" s="1" t="str">
        <f>_xlfn.XLOOKUP(B213, diagnoses_icd!B:B, diagnoses_icd!D:D)</f>
        <v>K219</v>
      </c>
    </row>
    <row r="214" spans="1:20" x14ac:dyDescent="0.2">
      <c r="A214">
        <v>10014354</v>
      </c>
      <c r="B214">
        <v>22508257</v>
      </c>
      <c r="C214" s="3">
        <v>90712.978472222225</v>
      </c>
      <c r="D214" s="3">
        <v>90722.604166666672</v>
      </c>
      <c r="E214" s="3"/>
      <c r="F214" s="1" t="s">
        <v>210</v>
      </c>
      <c r="G214" s="1" t="s">
        <v>216</v>
      </c>
      <c r="H214" s="1" t="s">
        <v>97</v>
      </c>
      <c r="I214" s="1" t="s">
        <v>34</v>
      </c>
      <c r="J214" s="1" t="s">
        <v>47</v>
      </c>
      <c r="K214" s="1" t="s">
        <v>30</v>
      </c>
      <c r="L214" s="1" t="s">
        <v>31</v>
      </c>
      <c r="M214" s="1" t="s">
        <v>40</v>
      </c>
      <c r="N214" s="3">
        <v>90712.850694444438</v>
      </c>
      <c r="O214" s="3">
        <v>90713.056944444441</v>
      </c>
      <c r="P214">
        <v>0</v>
      </c>
      <c r="Q214" t="str">
        <f>_xlfn.XLOOKUP(A214, patients!A:A, patients!B:B)</f>
        <v>M</v>
      </c>
      <c r="R214">
        <f>_xlfn.XLOOKUP(A214, patients!A:A, patients!C:C)</f>
        <v>60</v>
      </c>
      <c r="S214" t="str">
        <f t="shared" si="3"/>
        <v>50-70</v>
      </c>
      <c r="T214" s="1" t="str">
        <f>_xlfn.XLOOKUP(B214, diagnoses_icd!B:B, diagnoses_icd!D:D)</f>
        <v>H409</v>
      </c>
    </row>
    <row r="215" spans="1:20" x14ac:dyDescent="0.2">
      <c r="A215">
        <v>10014354</v>
      </c>
      <c r="B215">
        <v>29600294</v>
      </c>
      <c r="C215" s="3">
        <v>90808.956250000003</v>
      </c>
      <c r="D215" s="3">
        <v>90812.883333333331</v>
      </c>
      <c r="E215" s="3"/>
      <c r="F215" s="1" t="s">
        <v>210</v>
      </c>
      <c r="G215" s="1" t="s">
        <v>217</v>
      </c>
      <c r="H215" s="1" t="s">
        <v>86</v>
      </c>
      <c r="I215" s="1" t="s">
        <v>138</v>
      </c>
      <c r="J215" s="1" t="s">
        <v>47</v>
      </c>
      <c r="K215" s="1" t="s">
        <v>30</v>
      </c>
      <c r="L215" s="1" t="s">
        <v>31</v>
      </c>
      <c r="M215" s="1" t="s">
        <v>40</v>
      </c>
      <c r="N215" s="3">
        <v>90808.688888888893</v>
      </c>
      <c r="O215" s="3">
        <v>90809.018750000003</v>
      </c>
      <c r="P215">
        <v>0</v>
      </c>
      <c r="Q215" t="str">
        <f>_xlfn.XLOOKUP(A215, patients!A:A, patients!B:B)</f>
        <v>M</v>
      </c>
      <c r="R215">
        <f>_xlfn.XLOOKUP(A215, patients!A:A, patients!C:C)</f>
        <v>60</v>
      </c>
      <c r="S215" t="str">
        <f t="shared" si="3"/>
        <v>50-70</v>
      </c>
      <c r="T215" s="1" t="str">
        <f>_xlfn.XLOOKUP(B215, diagnoses_icd!B:B, diagnoses_icd!D:D)</f>
        <v>I4892</v>
      </c>
    </row>
    <row r="216" spans="1:20" x14ac:dyDescent="0.2">
      <c r="A216">
        <v>10014354</v>
      </c>
      <c r="B216">
        <v>26228185</v>
      </c>
      <c r="C216" s="3">
        <v>91432.846527777772</v>
      </c>
      <c r="D216" s="3">
        <v>91439.590277777781</v>
      </c>
      <c r="E216" s="3"/>
      <c r="F216" s="1" t="s">
        <v>210</v>
      </c>
      <c r="G216" s="1" t="s">
        <v>218</v>
      </c>
      <c r="H216" s="1" t="s">
        <v>27</v>
      </c>
      <c r="I216" s="1" t="s">
        <v>34</v>
      </c>
      <c r="J216" s="1" t="s">
        <v>47</v>
      </c>
      <c r="K216" s="1" t="s">
        <v>30</v>
      </c>
      <c r="L216" s="1" t="s">
        <v>31</v>
      </c>
      <c r="M216" s="1" t="s">
        <v>40</v>
      </c>
      <c r="N216" s="3">
        <v>91432.601388888885</v>
      </c>
      <c r="O216" s="3">
        <v>91432.912500000006</v>
      </c>
      <c r="P216">
        <v>0</v>
      </c>
      <c r="Q216" t="str">
        <f>_xlfn.XLOOKUP(A216, patients!A:A, patients!B:B)</f>
        <v>M</v>
      </c>
      <c r="R216">
        <f>_xlfn.XLOOKUP(A216, patients!A:A, patients!C:C)</f>
        <v>60</v>
      </c>
      <c r="S216" t="str">
        <f t="shared" si="3"/>
        <v>50-70</v>
      </c>
      <c r="T216" s="1" t="str">
        <f>_xlfn.XLOOKUP(B216, diagnoses_icd!B:B, diagnoses_icd!D:D)</f>
        <v>D696</v>
      </c>
    </row>
    <row r="217" spans="1:20" x14ac:dyDescent="0.2">
      <c r="A217">
        <v>10014354</v>
      </c>
      <c r="B217">
        <v>24980601</v>
      </c>
      <c r="C217" s="3">
        <v>91347.84166666666</v>
      </c>
      <c r="D217" s="3">
        <v>91351.590277777781</v>
      </c>
      <c r="E217" s="3"/>
      <c r="F217" s="1" t="s">
        <v>210</v>
      </c>
      <c r="G217" s="1" t="s">
        <v>219</v>
      </c>
      <c r="H217" s="1" t="s">
        <v>86</v>
      </c>
      <c r="I217" s="1" t="s">
        <v>138</v>
      </c>
      <c r="J217" s="1" t="s">
        <v>47</v>
      </c>
      <c r="K217" s="1" t="s">
        <v>30</v>
      </c>
      <c r="L217" s="1" t="s">
        <v>31</v>
      </c>
      <c r="M217" s="1" t="s">
        <v>40</v>
      </c>
      <c r="N217" s="3">
        <v>91347.618055555562</v>
      </c>
      <c r="O217" s="3">
        <v>91347.947222222225</v>
      </c>
      <c r="P217">
        <v>0</v>
      </c>
      <c r="Q217" t="str">
        <f>_xlfn.XLOOKUP(A217, patients!A:A, patients!B:B)</f>
        <v>M</v>
      </c>
      <c r="R217">
        <f>_xlfn.XLOOKUP(A217, patients!A:A, patients!C:C)</f>
        <v>60</v>
      </c>
      <c r="S217" t="str">
        <f t="shared" si="3"/>
        <v>50-70</v>
      </c>
      <c r="T217" s="1" t="str">
        <f>_xlfn.XLOOKUP(B217, diagnoses_icd!B:B, diagnoses_icd!D:D)</f>
        <v>Z6837</v>
      </c>
    </row>
    <row r="218" spans="1:20" x14ac:dyDescent="0.2">
      <c r="A218">
        <v>10014354</v>
      </c>
      <c r="B218">
        <v>26486158</v>
      </c>
      <c r="C218" s="3">
        <v>90816.637499999997</v>
      </c>
      <c r="D218" s="3">
        <v>90833.5</v>
      </c>
      <c r="E218" s="3"/>
      <c r="F218" s="1" t="s">
        <v>210</v>
      </c>
      <c r="G218" s="1" t="s">
        <v>218</v>
      </c>
      <c r="H218" s="1" t="s">
        <v>178</v>
      </c>
      <c r="I218" s="1" t="s">
        <v>34</v>
      </c>
      <c r="J218" s="1" t="s">
        <v>47</v>
      </c>
      <c r="K218" s="1" t="s">
        <v>30</v>
      </c>
      <c r="L218" s="1" t="s">
        <v>31</v>
      </c>
      <c r="M218" s="1" t="s">
        <v>40</v>
      </c>
      <c r="N218" s="3"/>
      <c r="O218" s="3"/>
      <c r="P218">
        <v>0</v>
      </c>
      <c r="Q218" t="str">
        <f>_xlfn.XLOOKUP(A218, patients!A:A, patients!B:B)</f>
        <v>M</v>
      </c>
      <c r="R218">
        <f>_xlfn.XLOOKUP(A218, patients!A:A, patients!C:C)</f>
        <v>60</v>
      </c>
      <c r="S218" t="str">
        <f t="shared" si="3"/>
        <v>50-70</v>
      </c>
      <c r="T218" s="1" t="str">
        <f>_xlfn.XLOOKUP(B218, diagnoses_icd!B:B, diagnoses_icd!D:D)</f>
        <v>Z955</v>
      </c>
    </row>
    <row r="219" spans="1:20" x14ac:dyDescent="0.2">
      <c r="A219">
        <v>10014354</v>
      </c>
      <c r="B219">
        <v>29780751</v>
      </c>
      <c r="C219" s="3">
        <v>90546.027083333334</v>
      </c>
      <c r="D219" s="3">
        <v>90550.704166666663</v>
      </c>
      <c r="E219" s="3"/>
      <c r="F219" s="1" t="s">
        <v>210</v>
      </c>
      <c r="G219" s="1" t="s">
        <v>220</v>
      </c>
      <c r="H219" s="1" t="s">
        <v>97</v>
      </c>
      <c r="I219" s="1" t="s">
        <v>34</v>
      </c>
      <c r="J219" s="1" t="s">
        <v>47</v>
      </c>
      <c r="K219" s="1" t="s">
        <v>30</v>
      </c>
      <c r="L219" s="1" t="s">
        <v>31</v>
      </c>
      <c r="M219" s="1" t="s">
        <v>40</v>
      </c>
      <c r="N219" s="3">
        <v>90545.818750000006</v>
      </c>
      <c r="O219" s="3">
        <v>90546.0625</v>
      </c>
      <c r="P219">
        <v>0</v>
      </c>
      <c r="Q219" t="str">
        <f>_xlfn.XLOOKUP(A219, patients!A:A, patients!B:B)</f>
        <v>M</v>
      </c>
      <c r="R219">
        <f>_xlfn.XLOOKUP(A219, patients!A:A, patients!C:C)</f>
        <v>60</v>
      </c>
      <c r="S219" t="str">
        <f t="shared" si="3"/>
        <v>50-70</v>
      </c>
      <c r="T219" s="1" t="str">
        <f>_xlfn.XLOOKUP(B219, diagnoses_icd!B:B, diagnoses_icd!D:D)</f>
        <v>Z8673</v>
      </c>
    </row>
    <row r="220" spans="1:20" x14ac:dyDescent="0.2">
      <c r="A220">
        <v>10014354</v>
      </c>
      <c r="B220">
        <v>23132022</v>
      </c>
      <c r="C220" s="3">
        <v>90757.640277777784</v>
      </c>
      <c r="D220" s="3">
        <v>90761.579166666663</v>
      </c>
      <c r="E220" s="3"/>
      <c r="F220" s="1" t="s">
        <v>210</v>
      </c>
      <c r="G220" s="1" t="s">
        <v>221</v>
      </c>
      <c r="H220" s="1" t="s">
        <v>86</v>
      </c>
      <c r="I220" s="1" t="s">
        <v>46</v>
      </c>
      <c r="J220" s="1" t="s">
        <v>47</v>
      </c>
      <c r="K220" s="1" t="s">
        <v>30</v>
      </c>
      <c r="L220" s="1" t="s">
        <v>31</v>
      </c>
      <c r="M220" s="1" t="s">
        <v>40</v>
      </c>
      <c r="N220" s="3">
        <v>90757.390277777784</v>
      </c>
      <c r="O220" s="3">
        <v>90757.675000000003</v>
      </c>
      <c r="P220">
        <v>0</v>
      </c>
      <c r="Q220" t="str">
        <f>_xlfn.XLOOKUP(A220, patients!A:A, patients!B:B)</f>
        <v>M</v>
      </c>
      <c r="R220">
        <f>_xlfn.XLOOKUP(A220, patients!A:A, patients!C:C)</f>
        <v>60</v>
      </c>
      <c r="S220" t="str">
        <f t="shared" si="3"/>
        <v>50-70</v>
      </c>
      <c r="T220" s="1" t="str">
        <f>_xlfn.XLOOKUP(B220, diagnoses_icd!B:B, diagnoses_icd!D:D)</f>
        <v>I309</v>
      </c>
    </row>
    <row r="221" spans="1:20" x14ac:dyDescent="0.2">
      <c r="A221">
        <v>10005909</v>
      </c>
      <c r="B221">
        <v>20199380</v>
      </c>
      <c r="C221" s="3">
        <v>89422.972222222219</v>
      </c>
      <c r="D221" s="3">
        <v>89427.640972222216</v>
      </c>
      <c r="E221" s="3"/>
      <c r="F221" s="1" t="s">
        <v>210</v>
      </c>
      <c r="G221" s="1" t="s">
        <v>95</v>
      </c>
      <c r="H221" s="1" t="s">
        <v>97</v>
      </c>
      <c r="I221" s="1" t="s">
        <v>46</v>
      </c>
      <c r="J221" s="1" t="s">
        <v>47</v>
      </c>
      <c r="K221" s="1" t="s">
        <v>30</v>
      </c>
      <c r="L221" s="1" t="s">
        <v>36</v>
      </c>
      <c r="M221" s="1" t="s">
        <v>40</v>
      </c>
      <c r="N221" s="3">
        <v>89422.770138888882</v>
      </c>
      <c r="O221" s="3">
        <v>89423.006944444438</v>
      </c>
      <c r="P221">
        <v>0</v>
      </c>
      <c r="Q221" t="str">
        <f>_xlfn.XLOOKUP(A221, patients!A:A, patients!B:B)</f>
        <v>F</v>
      </c>
      <c r="R221">
        <f>_xlfn.XLOOKUP(A221, patients!A:A, patients!C:C)</f>
        <v>40</v>
      </c>
      <c r="S221" t="str">
        <f t="shared" si="3"/>
        <v>30-50</v>
      </c>
      <c r="T221" s="1" t="str">
        <f>_xlfn.XLOOKUP(B221, diagnoses_icd!B:B, diagnoses_icd!D:D)</f>
        <v>I9751</v>
      </c>
    </row>
    <row r="222" spans="1:20" x14ac:dyDescent="0.2">
      <c r="A222">
        <v>10039708</v>
      </c>
      <c r="B222">
        <v>26793610</v>
      </c>
      <c r="C222" s="3">
        <v>87928.178472222222</v>
      </c>
      <c r="D222" s="3">
        <v>87929.736111111109</v>
      </c>
      <c r="E222" s="3"/>
      <c r="F222" s="1" t="s">
        <v>210</v>
      </c>
      <c r="G222" s="1" t="s">
        <v>222</v>
      </c>
      <c r="H222" s="1" t="s">
        <v>97</v>
      </c>
      <c r="I222" s="1" t="s">
        <v>46</v>
      </c>
      <c r="J222" s="1" t="s">
        <v>47</v>
      </c>
      <c r="K222" s="1" t="s">
        <v>30</v>
      </c>
      <c r="L222" s="1" t="s">
        <v>31</v>
      </c>
      <c r="M222" s="1" t="s">
        <v>62</v>
      </c>
      <c r="N222" s="3">
        <v>87927.88680555555</v>
      </c>
      <c r="O222" s="3">
        <v>87928.24791666666</v>
      </c>
      <c r="P222">
        <v>0</v>
      </c>
      <c r="Q222" t="str">
        <f>_xlfn.XLOOKUP(A222, patients!A:A, patients!B:B)</f>
        <v>F</v>
      </c>
      <c r="R222">
        <f>_xlfn.XLOOKUP(A222, patients!A:A, patients!C:C)</f>
        <v>46</v>
      </c>
      <c r="S222" t="str">
        <f t="shared" si="3"/>
        <v>30-50</v>
      </c>
      <c r="T222" s="1" t="str">
        <f>_xlfn.XLOOKUP(B222, diagnoses_icd!B:B, diagnoses_icd!D:D)</f>
        <v>E039</v>
      </c>
    </row>
    <row r="223" spans="1:20" x14ac:dyDescent="0.2">
      <c r="A223">
        <v>10039708</v>
      </c>
      <c r="B223">
        <v>29488258</v>
      </c>
      <c r="C223" s="3">
        <v>89139.504861111112</v>
      </c>
      <c r="D223" s="3">
        <v>89141.888888888891</v>
      </c>
      <c r="E223" s="3"/>
      <c r="F223" s="1" t="s">
        <v>210</v>
      </c>
      <c r="G223" s="1" t="s">
        <v>223</v>
      </c>
      <c r="H223" s="1" t="s">
        <v>133</v>
      </c>
      <c r="I223" s="1" t="s">
        <v>46</v>
      </c>
      <c r="J223" s="1" t="s">
        <v>47</v>
      </c>
      <c r="K223" s="1" t="s">
        <v>30</v>
      </c>
      <c r="L223" s="1" t="s">
        <v>31</v>
      </c>
      <c r="M223" s="1" t="s">
        <v>62</v>
      </c>
      <c r="N223" s="3">
        <v>89138.495138888888</v>
      </c>
      <c r="O223" s="3">
        <v>89139.582638888882</v>
      </c>
      <c r="P223">
        <v>0</v>
      </c>
      <c r="Q223" t="str">
        <f>_xlfn.XLOOKUP(A223, patients!A:A, patients!B:B)</f>
        <v>F</v>
      </c>
      <c r="R223">
        <f>_xlfn.XLOOKUP(A223, patients!A:A, patients!C:C)</f>
        <v>46</v>
      </c>
      <c r="S223" t="str">
        <f t="shared" si="3"/>
        <v>30-50</v>
      </c>
      <c r="T223" s="1" t="str">
        <f>_xlfn.XLOOKUP(B223, diagnoses_icd!B:B, diagnoses_icd!D:D)</f>
        <v>I8510</v>
      </c>
    </row>
    <row r="224" spans="1:20" x14ac:dyDescent="0.2">
      <c r="A224">
        <v>10039708</v>
      </c>
      <c r="B224">
        <v>24928679</v>
      </c>
      <c r="C224" s="3">
        <v>89017.774999999994</v>
      </c>
      <c r="D224" s="3">
        <v>89020.958333333328</v>
      </c>
      <c r="E224" s="3"/>
      <c r="F224" s="1" t="s">
        <v>210</v>
      </c>
      <c r="G224" s="1" t="s">
        <v>223</v>
      </c>
      <c r="H224" s="1" t="s">
        <v>178</v>
      </c>
      <c r="I224" s="1" t="s">
        <v>34</v>
      </c>
      <c r="J224" s="1" t="s">
        <v>47</v>
      </c>
      <c r="K224" s="1" t="s">
        <v>30</v>
      </c>
      <c r="L224" s="1" t="s">
        <v>31</v>
      </c>
      <c r="M224" s="1" t="s">
        <v>62</v>
      </c>
      <c r="N224" s="3">
        <v>89017.456250000003</v>
      </c>
      <c r="O224" s="3">
        <v>89017.87291666666</v>
      </c>
      <c r="P224">
        <v>0</v>
      </c>
      <c r="Q224" t="str">
        <f>_xlfn.XLOOKUP(A224, patients!A:A, patients!B:B)</f>
        <v>F</v>
      </c>
      <c r="R224">
        <f>_xlfn.XLOOKUP(A224, patients!A:A, patients!C:C)</f>
        <v>46</v>
      </c>
      <c r="S224" t="str">
        <f t="shared" si="3"/>
        <v>30-50</v>
      </c>
      <c r="T224" s="1" t="str">
        <f>_xlfn.XLOOKUP(B224, diagnoses_icd!B:B, diagnoses_icd!D:D)</f>
        <v>Z992</v>
      </c>
    </row>
    <row r="225" spans="1:20" x14ac:dyDescent="0.2">
      <c r="A225">
        <v>10039708</v>
      </c>
      <c r="B225">
        <v>23819016</v>
      </c>
      <c r="C225" s="3">
        <v>87829.015277777784</v>
      </c>
      <c r="D225" s="3">
        <v>87833.736111111109</v>
      </c>
      <c r="E225" s="3"/>
      <c r="F225" s="1" t="s">
        <v>210</v>
      </c>
      <c r="G225" s="1" t="s">
        <v>82</v>
      </c>
      <c r="H225" s="1" t="s">
        <v>97</v>
      </c>
      <c r="I225" s="1" t="s">
        <v>46</v>
      </c>
      <c r="J225" s="1" t="s">
        <v>47</v>
      </c>
      <c r="K225" s="1" t="s">
        <v>30</v>
      </c>
      <c r="L225" s="1" t="s">
        <v>31</v>
      </c>
      <c r="M225" s="1" t="s">
        <v>62</v>
      </c>
      <c r="N225" s="3">
        <v>87828.740972222222</v>
      </c>
      <c r="O225" s="3">
        <v>87829.070138888885</v>
      </c>
      <c r="P225">
        <v>0</v>
      </c>
      <c r="Q225" t="str">
        <f>_xlfn.XLOOKUP(A225, patients!A:A, patients!B:B)</f>
        <v>F</v>
      </c>
      <c r="R225">
        <f>_xlfn.XLOOKUP(A225, patients!A:A, patients!C:C)</f>
        <v>46</v>
      </c>
      <c r="S225" t="str">
        <f t="shared" si="3"/>
        <v>30-50</v>
      </c>
      <c r="T225" s="1" t="str">
        <f>_xlfn.XLOOKUP(B225, diagnoses_icd!B:B, diagnoses_icd!D:D)</f>
        <v>R6521</v>
      </c>
    </row>
    <row r="226" spans="1:20" x14ac:dyDescent="0.2">
      <c r="A226">
        <v>10039708</v>
      </c>
      <c r="B226">
        <v>20093566</v>
      </c>
      <c r="C226" s="3">
        <v>89024.766666666663</v>
      </c>
      <c r="D226" s="3">
        <v>89028.833333333328</v>
      </c>
      <c r="E226" s="3"/>
      <c r="F226" s="1" t="s">
        <v>210</v>
      </c>
      <c r="G226" s="1" t="s">
        <v>224</v>
      </c>
      <c r="H226" s="1" t="s">
        <v>178</v>
      </c>
      <c r="I226" s="1" t="s">
        <v>34</v>
      </c>
      <c r="J226" s="1" t="s">
        <v>47</v>
      </c>
      <c r="K226" s="1" t="s">
        <v>30</v>
      </c>
      <c r="L226" s="1" t="s">
        <v>31</v>
      </c>
      <c r="M226" s="1" t="s">
        <v>62</v>
      </c>
      <c r="N226" s="3">
        <v>89024.344444444447</v>
      </c>
      <c r="O226" s="3">
        <v>89024.827777777784</v>
      </c>
      <c r="P226">
        <v>0</v>
      </c>
      <c r="Q226" t="str">
        <f>_xlfn.XLOOKUP(A226, patients!A:A, patients!B:B)</f>
        <v>F</v>
      </c>
      <c r="R226">
        <f>_xlfn.XLOOKUP(A226, patients!A:A, patients!C:C)</f>
        <v>46</v>
      </c>
      <c r="S226" t="str">
        <f t="shared" si="3"/>
        <v>30-50</v>
      </c>
      <c r="T226" s="1" t="str">
        <f>_xlfn.XLOOKUP(B226, diagnoses_icd!B:B, diagnoses_icd!D:D)</f>
        <v>R600</v>
      </c>
    </row>
    <row r="227" spans="1:20" x14ac:dyDescent="0.2">
      <c r="A227">
        <v>10037928</v>
      </c>
      <c r="B227">
        <v>24885579</v>
      </c>
      <c r="C227" s="3">
        <v>103119.18680555555</v>
      </c>
      <c r="D227" s="3">
        <v>103123.72222222222</v>
      </c>
      <c r="E227" s="3"/>
      <c r="F227" s="1" t="s">
        <v>210</v>
      </c>
      <c r="G227" s="1" t="s">
        <v>160</v>
      </c>
      <c r="H227" s="1" t="s">
        <v>133</v>
      </c>
      <c r="I227" s="1" t="s">
        <v>46</v>
      </c>
      <c r="J227" s="1" t="s">
        <v>39</v>
      </c>
      <c r="K227" s="1" t="s">
        <v>35</v>
      </c>
      <c r="L227" s="1" t="s">
        <v>48</v>
      </c>
      <c r="M227" s="1" t="s">
        <v>143</v>
      </c>
      <c r="N227" s="3">
        <v>103118.72569444444</v>
      </c>
      <c r="O227" s="3">
        <v>103119.32569444444</v>
      </c>
      <c r="P227">
        <v>0</v>
      </c>
      <c r="Q227" t="str">
        <f>_xlfn.XLOOKUP(A227, patients!A:A, patients!B:B)</f>
        <v>F</v>
      </c>
      <c r="R227">
        <f>_xlfn.XLOOKUP(A227, patients!A:A, patients!C:C)</f>
        <v>78</v>
      </c>
      <c r="S227" t="str">
        <f t="shared" si="3"/>
        <v>70+</v>
      </c>
      <c r="T227" s="1" t="str">
        <f>_xlfn.XLOOKUP(B227, diagnoses_icd!B:B, diagnoses_icd!D:D)</f>
        <v>E1165</v>
      </c>
    </row>
    <row r="228" spans="1:20" x14ac:dyDescent="0.2">
      <c r="A228">
        <v>10035631</v>
      </c>
      <c r="B228">
        <v>21476294</v>
      </c>
      <c r="C228" s="3">
        <v>78840.579166666663</v>
      </c>
      <c r="D228" s="3">
        <v>78870.729861111118</v>
      </c>
      <c r="E228" s="3"/>
      <c r="F228" s="1" t="s">
        <v>210</v>
      </c>
      <c r="G228" s="1" t="s">
        <v>92</v>
      </c>
      <c r="H228" s="1" t="s">
        <v>97</v>
      </c>
      <c r="I228" s="1" t="s">
        <v>46</v>
      </c>
      <c r="J228" s="1" t="s">
        <v>47</v>
      </c>
      <c r="K228" s="1" t="s">
        <v>30</v>
      </c>
      <c r="L228" s="1" t="s">
        <v>36</v>
      </c>
      <c r="M228" s="1" t="s">
        <v>40</v>
      </c>
      <c r="N228" s="3">
        <v>78840.501388888893</v>
      </c>
      <c r="O228" s="3">
        <v>78840.654861111107</v>
      </c>
      <c r="P228">
        <v>0</v>
      </c>
      <c r="Q228" t="str">
        <f>_xlfn.XLOOKUP(A228, patients!A:A, patients!B:B)</f>
        <v>M</v>
      </c>
      <c r="R228">
        <f>_xlfn.XLOOKUP(A228, patients!A:A, patients!C:C)</f>
        <v>63</v>
      </c>
      <c r="S228" t="str">
        <f t="shared" si="3"/>
        <v>50-70</v>
      </c>
      <c r="T228" s="1" t="str">
        <f>_xlfn.XLOOKUP(B228, diagnoses_icd!B:B, diagnoses_icd!D:D)</f>
        <v>T361X5A</v>
      </c>
    </row>
    <row r="229" spans="1:20" x14ac:dyDescent="0.2">
      <c r="A229">
        <v>10035631</v>
      </c>
      <c r="B229">
        <v>29276678</v>
      </c>
      <c r="C229" s="3">
        <v>78951.871527777781</v>
      </c>
      <c r="D229" s="3">
        <v>78965.322916666672</v>
      </c>
      <c r="E229" s="3">
        <v>78965.322916666672</v>
      </c>
      <c r="F229" s="1" t="s">
        <v>210</v>
      </c>
      <c r="G229" s="1" t="s">
        <v>218</v>
      </c>
      <c r="H229" s="1" t="s">
        <v>97</v>
      </c>
      <c r="I229" s="1" t="s">
        <v>42</v>
      </c>
      <c r="J229" s="1" t="s">
        <v>47</v>
      </c>
      <c r="K229" s="1" t="s">
        <v>30</v>
      </c>
      <c r="L229" s="1" t="s">
        <v>36</v>
      </c>
      <c r="M229" s="1" t="s">
        <v>40</v>
      </c>
      <c r="N229" s="3">
        <v>78951.647916666669</v>
      </c>
      <c r="O229" s="3">
        <v>78951.918749999997</v>
      </c>
      <c r="P229">
        <v>1</v>
      </c>
      <c r="Q229" t="str">
        <f>_xlfn.XLOOKUP(A229, patients!A:A, patients!B:B)</f>
        <v>M</v>
      </c>
      <c r="R229">
        <f>_xlfn.XLOOKUP(A229, patients!A:A, patients!C:C)</f>
        <v>63</v>
      </c>
      <c r="S229" t="str">
        <f t="shared" si="3"/>
        <v>50-70</v>
      </c>
      <c r="T229" s="1" t="str">
        <f>_xlfn.XLOOKUP(B229, diagnoses_icd!B:B, diagnoses_icd!D:D)</f>
        <v>J9811</v>
      </c>
    </row>
    <row r="230" spans="1:20" x14ac:dyDescent="0.2">
      <c r="A230">
        <v>10015931</v>
      </c>
      <c r="B230">
        <v>24420677</v>
      </c>
      <c r="C230" s="3">
        <v>101159.97986111112</v>
      </c>
      <c r="D230" s="3">
        <v>101174.73263888889</v>
      </c>
      <c r="E230" s="3"/>
      <c r="F230" s="1" t="s">
        <v>210</v>
      </c>
      <c r="G230" s="1" t="s">
        <v>225</v>
      </c>
      <c r="H230" s="1" t="s">
        <v>97</v>
      </c>
      <c r="I230" s="1" t="s">
        <v>34</v>
      </c>
      <c r="J230" s="1" t="s">
        <v>39</v>
      </c>
      <c r="K230" s="1" t="s">
        <v>30</v>
      </c>
      <c r="L230" s="1" t="s">
        <v>36</v>
      </c>
      <c r="M230" s="1" t="s">
        <v>40</v>
      </c>
      <c r="N230" s="3">
        <v>101159.76666666666</v>
      </c>
      <c r="O230" s="3">
        <v>101160.04652777778</v>
      </c>
      <c r="P230">
        <v>0</v>
      </c>
      <c r="Q230" t="str">
        <f>_xlfn.XLOOKUP(A230, patients!A:A, patients!B:B)</f>
        <v>M</v>
      </c>
      <c r="R230">
        <f>_xlfn.XLOOKUP(A230, patients!A:A, patients!C:C)</f>
        <v>87</v>
      </c>
      <c r="S230" t="str">
        <f t="shared" si="3"/>
        <v>70+</v>
      </c>
      <c r="T230" s="1" t="str">
        <f>_xlfn.XLOOKUP(B230, diagnoses_icd!B:B, diagnoses_icd!D:D)</f>
        <v>Z794</v>
      </c>
    </row>
    <row r="231" spans="1:20" x14ac:dyDescent="0.2">
      <c r="A231">
        <v>10015931</v>
      </c>
      <c r="B231">
        <v>28157142</v>
      </c>
      <c r="C231" s="3">
        <v>101127.75138888889</v>
      </c>
      <c r="D231" s="3">
        <v>101140.5625</v>
      </c>
      <c r="E231" s="3"/>
      <c r="F231" s="1" t="s">
        <v>210</v>
      </c>
      <c r="G231" s="1" t="s">
        <v>226</v>
      </c>
      <c r="H231" s="1" t="s">
        <v>97</v>
      </c>
      <c r="I231" s="1" t="s">
        <v>28</v>
      </c>
      <c r="J231" s="1" t="s">
        <v>39</v>
      </c>
      <c r="K231" s="1" t="s">
        <v>30</v>
      </c>
      <c r="L231" s="1" t="s">
        <v>36</v>
      </c>
      <c r="M231" s="1" t="s">
        <v>40</v>
      </c>
      <c r="N231" s="3">
        <v>101127.10208333333</v>
      </c>
      <c r="O231" s="3">
        <v>101127.82708333334</v>
      </c>
      <c r="P231">
        <v>0</v>
      </c>
      <c r="Q231" t="str">
        <f>_xlfn.XLOOKUP(A231, patients!A:A, patients!B:B)</f>
        <v>M</v>
      </c>
      <c r="R231">
        <f>_xlfn.XLOOKUP(A231, patients!A:A, patients!C:C)</f>
        <v>87</v>
      </c>
      <c r="S231" t="str">
        <f t="shared" si="3"/>
        <v>70+</v>
      </c>
      <c r="T231" s="1" t="str">
        <f>_xlfn.XLOOKUP(B231, diagnoses_icd!B:B, diagnoses_icd!D:D)</f>
        <v>I5023</v>
      </c>
    </row>
    <row r="232" spans="1:20" x14ac:dyDescent="0.2">
      <c r="A232">
        <v>10019003</v>
      </c>
      <c r="B232">
        <v>25508812</v>
      </c>
      <c r="C232" s="3">
        <v>93280.906944444447</v>
      </c>
      <c r="D232" s="3">
        <v>93288.145833333328</v>
      </c>
      <c r="E232" s="3"/>
      <c r="F232" s="1" t="s">
        <v>210</v>
      </c>
      <c r="G232" s="1" t="s">
        <v>227</v>
      </c>
      <c r="H232" s="1" t="s">
        <v>86</v>
      </c>
      <c r="I232" s="1" t="s">
        <v>46</v>
      </c>
      <c r="J232" s="1" t="s">
        <v>47</v>
      </c>
      <c r="K232" s="1" t="s">
        <v>30</v>
      </c>
      <c r="L232" s="1" t="s">
        <v>48</v>
      </c>
      <c r="M232" s="1" t="s">
        <v>40</v>
      </c>
      <c r="N232" s="3"/>
      <c r="O232" s="3"/>
      <c r="P232">
        <v>0</v>
      </c>
      <c r="Q232" t="str">
        <f>_xlfn.XLOOKUP(A232, patients!A:A, patients!B:B)</f>
        <v>F</v>
      </c>
      <c r="R232">
        <f>_xlfn.XLOOKUP(A232, patients!A:A, patients!C:C)</f>
        <v>65</v>
      </c>
      <c r="S232" t="str">
        <f t="shared" si="3"/>
        <v>50-70</v>
      </c>
      <c r="T232" s="1" t="str">
        <f>_xlfn.XLOOKUP(B232, diagnoses_icd!B:B, diagnoses_icd!D:D)</f>
        <v>D735</v>
      </c>
    </row>
    <row r="233" spans="1:20" x14ac:dyDescent="0.2">
      <c r="A233">
        <v>10039997</v>
      </c>
      <c r="B233">
        <v>22484749</v>
      </c>
      <c r="C233" s="3">
        <v>86638.922222222216</v>
      </c>
      <c r="D233" s="3">
        <v>86641.690277777772</v>
      </c>
      <c r="E233" s="3"/>
      <c r="F233" s="1" t="s">
        <v>210</v>
      </c>
      <c r="G233" s="1" t="s">
        <v>228</v>
      </c>
      <c r="H233" s="1" t="s">
        <v>86</v>
      </c>
      <c r="I233" s="1" t="s">
        <v>81</v>
      </c>
      <c r="J233" s="1" t="s">
        <v>39</v>
      </c>
      <c r="K233" s="1" t="s">
        <v>30</v>
      </c>
      <c r="L233" s="1" t="s">
        <v>48</v>
      </c>
      <c r="M233" s="1" t="s">
        <v>62</v>
      </c>
      <c r="N233" s="3">
        <v>86638.643750000003</v>
      </c>
      <c r="O233" s="3">
        <v>86639.007638888885</v>
      </c>
      <c r="P233">
        <v>0</v>
      </c>
      <c r="Q233" t="str">
        <f>_xlfn.XLOOKUP(A233, patients!A:A, patients!B:B)</f>
        <v>F</v>
      </c>
      <c r="R233">
        <f>_xlfn.XLOOKUP(A233, patients!A:A, patients!C:C)</f>
        <v>67</v>
      </c>
      <c r="S233" t="str">
        <f t="shared" si="3"/>
        <v>50-70</v>
      </c>
      <c r="T233" s="1" t="str">
        <f>_xlfn.XLOOKUP(B233, diagnoses_icd!B:B, diagnoses_icd!D:D)</f>
        <v>I6340</v>
      </c>
    </row>
    <row r="234" spans="1:20" x14ac:dyDescent="0.2">
      <c r="A234">
        <v>10023117</v>
      </c>
      <c r="B234">
        <v>21607814</v>
      </c>
      <c r="C234" s="3">
        <v>100630.66458333333</v>
      </c>
      <c r="D234" s="3">
        <v>100644</v>
      </c>
      <c r="E234" s="3">
        <v>100644.95138888889</v>
      </c>
      <c r="F234" s="1" t="s">
        <v>210</v>
      </c>
      <c r="G234" s="1" t="s">
        <v>225</v>
      </c>
      <c r="H234" s="1" t="s">
        <v>97</v>
      </c>
      <c r="I234" s="1" t="s">
        <v>42</v>
      </c>
      <c r="J234" s="1" t="s">
        <v>39</v>
      </c>
      <c r="K234" s="1" t="s">
        <v>30</v>
      </c>
      <c r="L234" s="1" t="s">
        <v>48</v>
      </c>
      <c r="M234" s="1" t="s">
        <v>40</v>
      </c>
      <c r="N234" s="3">
        <v>100630.58472222222</v>
      </c>
      <c r="O234" s="3">
        <v>100630.73680555556</v>
      </c>
      <c r="P234">
        <v>1</v>
      </c>
      <c r="Q234" t="str">
        <f>_xlfn.XLOOKUP(A234, patients!A:A, patients!B:B)</f>
        <v>M</v>
      </c>
      <c r="R234">
        <f>_xlfn.XLOOKUP(A234, patients!A:A, patients!C:C)</f>
        <v>53</v>
      </c>
      <c r="S234" t="str">
        <f t="shared" si="3"/>
        <v>50-70</v>
      </c>
      <c r="T234" s="1" t="str">
        <f>_xlfn.XLOOKUP(B234, diagnoses_icd!B:B, diagnoses_icd!D:D)</f>
        <v>E806</v>
      </c>
    </row>
    <row r="235" spans="1:20" x14ac:dyDescent="0.2">
      <c r="A235">
        <v>10023117</v>
      </c>
      <c r="B235">
        <v>21133938</v>
      </c>
      <c r="C235" s="3">
        <v>100522.97847222222</v>
      </c>
      <c r="D235" s="3">
        <v>100531.66666666667</v>
      </c>
      <c r="E235" s="3"/>
      <c r="F235" s="1" t="s">
        <v>210</v>
      </c>
      <c r="G235" s="1" t="s">
        <v>229</v>
      </c>
      <c r="H235" s="1" t="s">
        <v>27</v>
      </c>
      <c r="I235" s="1" t="s">
        <v>46</v>
      </c>
      <c r="J235" s="1" t="s">
        <v>39</v>
      </c>
      <c r="K235" s="1" t="s">
        <v>30</v>
      </c>
      <c r="L235" s="1" t="s">
        <v>48</v>
      </c>
      <c r="M235" s="1" t="s">
        <v>40</v>
      </c>
      <c r="N235" s="3"/>
      <c r="O235" s="3"/>
      <c r="P235">
        <v>0</v>
      </c>
      <c r="Q235" t="str">
        <f>_xlfn.XLOOKUP(A235, patients!A:A, patients!B:B)</f>
        <v>M</v>
      </c>
      <c r="R235">
        <f>_xlfn.XLOOKUP(A235, patients!A:A, patients!C:C)</f>
        <v>53</v>
      </c>
      <c r="S235" t="str">
        <f t="shared" si="3"/>
        <v>50-70</v>
      </c>
      <c r="T235" s="1" t="str">
        <f>_xlfn.XLOOKUP(B235, diagnoses_icd!B:B, diagnoses_icd!D:D)</f>
        <v>R34</v>
      </c>
    </row>
    <row r="236" spans="1:20" x14ac:dyDescent="0.2">
      <c r="A236">
        <v>10020306</v>
      </c>
      <c r="B236">
        <v>23052851</v>
      </c>
      <c r="C236" s="3">
        <v>85848.871527777781</v>
      </c>
      <c r="D236" s="3">
        <v>85871.743055555562</v>
      </c>
      <c r="E236" s="3"/>
      <c r="F236" s="1" t="s">
        <v>210</v>
      </c>
      <c r="G236" s="1" t="s">
        <v>215</v>
      </c>
      <c r="H236" s="1" t="s">
        <v>86</v>
      </c>
      <c r="I236" s="1" t="s">
        <v>28</v>
      </c>
      <c r="J236" s="1" t="s">
        <v>47</v>
      </c>
      <c r="K236" s="1" t="s">
        <v>30</v>
      </c>
      <c r="L236" s="1" t="s">
        <v>48</v>
      </c>
      <c r="M236" s="1" t="s">
        <v>62</v>
      </c>
      <c r="N236" s="3">
        <v>85848.675000000003</v>
      </c>
      <c r="O236" s="3">
        <v>85848.943055555559</v>
      </c>
      <c r="P236">
        <v>0</v>
      </c>
      <c r="Q236" t="str">
        <f>_xlfn.XLOOKUP(A236, patients!A:A, patients!B:B)</f>
        <v>F</v>
      </c>
      <c r="R236">
        <f>_xlfn.XLOOKUP(A236, patients!A:A, patients!C:C)</f>
        <v>74</v>
      </c>
      <c r="S236" t="str">
        <f t="shared" si="3"/>
        <v>70+</v>
      </c>
      <c r="T236" s="1" t="str">
        <f>_xlfn.XLOOKUP(B236, diagnoses_icd!B:B, diagnoses_icd!D:D)</f>
        <v>N170</v>
      </c>
    </row>
    <row r="237" spans="1:20" x14ac:dyDescent="0.2">
      <c r="A237">
        <v>10038999</v>
      </c>
      <c r="B237">
        <v>27189241</v>
      </c>
      <c r="C237" s="3">
        <v>84514.909027777772</v>
      </c>
      <c r="D237" s="3">
        <v>84527.571527777778</v>
      </c>
      <c r="E237" s="3"/>
      <c r="F237" s="1" t="s">
        <v>210</v>
      </c>
      <c r="G237" s="1" t="s">
        <v>168</v>
      </c>
      <c r="H237" s="1" t="s">
        <v>97</v>
      </c>
      <c r="I237" s="1" t="s">
        <v>46</v>
      </c>
      <c r="J237" s="1" t="s">
        <v>39</v>
      </c>
      <c r="K237" s="1" t="s">
        <v>30</v>
      </c>
      <c r="L237" s="1" t="s">
        <v>31</v>
      </c>
      <c r="M237" s="1" t="s">
        <v>40</v>
      </c>
      <c r="N237" s="3">
        <v>84514.856249999997</v>
      </c>
      <c r="O237" s="3">
        <v>84514.89444444445</v>
      </c>
      <c r="P237">
        <v>0</v>
      </c>
      <c r="Q237" t="str">
        <f>_xlfn.XLOOKUP(A237, patients!A:A, patients!B:B)</f>
        <v>M</v>
      </c>
      <c r="R237">
        <f>_xlfn.XLOOKUP(A237, patients!A:A, patients!C:C)</f>
        <v>45</v>
      </c>
      <c r="S237" t="str">
        <f t="shared" si="3"/>
        <v>30-50</v>
      </c>
      <c r="T237" s="1" t="str">
        <f>_xlfn.XLOOKUP(B237, diagnoses_icd!B:B, diagnoses_icd!D:D)</f>
        <v>J189</v>
      </c>
    </row>
    <row r="238" spans="1:20" x14ac:dyDescent="0.2">
      <c r="A238">
        <v>10040025</v>
      </c>
      <c r="B238">
        <v>21791856</v>
      </c>
      <c r="C238" s="3">
        <v>90383.916666666672</v>
      </c>
      <c r="D238" s="3">
        <v>90389.677083333328</v>
      </c>
      <c r="E238" s="3"/>
      <c r="F238" s="1" t="s">
        <v>210</v>
      </c>
      <c r="G238" s="1" t="s">
        <v>230</v>
      </c>
      <c r="H238" s="1" t="s">
        <v>97</v>
      </c>
      <c r="I238" s="1" t="s">
        <v>34</v>
      </c>
      <c r="J238" s="1" t="s">
        <v>47</v>
      </c>
      <c r="K238" s="1" t="s">
        <v>30</v>
      </c>
      <c r="L238" s="1" t="s">
        <v>91</v>
      </c>
      <c r="M238" s="1" t="s">
        <v>40</v>
      </c>
      <c r="N238" s="3">
        <v>90383.790277777778</v>
      </c>
      <c r="O238" s="3">
        <v>90383.962499999994</v>
      </c>
      <c r="P238">
        <v>0</v>
      </c>
      <c r="Q238" t="str">
        <f>_xlfn.XLOOKUP(A238, patients!A:A, patients!B:B)</f>
        <v>F</v>
      </c>
      <c r="R238">
        <f>_xlfn.XLOOKUP(A238, patients!A:A, patients!C:C)</f>
        <v>64</v>
      </c>
      <c r="S238" t="str">
        <f t="shared" si="3"/>
        <v>50-70</v>
      </c>
      <c r="T238" s="1" t="str">
        <f>_xlfn.XLOOKUP(B238, diagnoses_icd!B:B, diagnoses_icd!D:D)</f>
        <v>I252</v>
      </c>
    </row>
    <row r="239" spans="1:20" x14ac:dyDescent="0.2">
      <c r="A239">
        <v>10040025</v>
      </c>
      <c r="B239">
        <v>22251969</v>
      </c>
      <c r="C239" s="3">
        <v>90431.123611111107</v>
      </c>
      <c r="D239" s="3">
        <v>90434.701388888891</v>
      </c>
      <c r="E239" s="3"/>
      <c r="F239" s="1" t="s">
        <v>210</v>
      </c>
      <c r="G239" s="1" t="s">
        <v>231</v>
      </c>
      <c r="H239" s="1" t="s">
        <v>97</v>
      </c>
      <c r="I239" s="1" t="s">
        <v>46</v>
      </c>
      <c r="J239" s="1" t="s">
        <v>47</v>
      </c>
      <c r="K239" s="1" t="s">
        <v>30</v>
      </c>
      <c r="L239" s="1" t="s">
        <v>91</v>
      </c>
      <c r="M239" s="1" t="s">
        <v>40</v>
      </c>
      <c r="N239" s="3">
        <v>90430.759722222225</v>
      </c>
      <c r="O239" s="3">
        <v>90431.111805555556</v>
      </c>
      <c r="P239">
        <v>0</v>
      </c>
      <c r="Q239" t="str">
        <f>_xlfn.XLOOKUP(A239, patients!A:A, patients!B:B)</f>
        <v>F</v>
      </c>
      <c r="R239">
        <f>_xlfn.XLOOKUP(A239, patients!A:A, patients!C:C)</f>
        <v>64</v>
      </c>
      <c r="S239" t="str">
        <f t="shared" si="3"/>
        <v>50-70</v>
      </c>
      <c r="T239" s="1" t="str">
        <f>_xlfn.XLOOKUP(B239, diagnoses_icd!B:B, diagnoses_icd!D:D)</f>
        <v>I701</v>
      </c>
    </row>
    <row r="240" spans="1:20" x14ac:dyDescent="0.2">
      <c r="A240">
        <v>10040025</v>
      </c>
      <c r="B240">
        <v>27259207</v>
      </c>
      <c r="C240" s="3">
        <v>90554.866666666669</v>
      </c>
      <c r="D240" s="3">
        <v>90568.696527777778</v>
      </c>
      <c r="E240" s="3"/>
      <c r="F240" s="1" t="s">
        <v>210</v>
      </c>
      <c r="G240" s="1" t="s">
        <v>95</v>
      </c>
      <c r="H240" s="1" t="s">
        <v>97</v>
      </c>
      <c r="I240" s="1" t="s">
        <v>28</v>
      </c>
      <c r="J240" s="1" t="s">
        <v>47</v>
      </c>
      <c r="K240" s="1" t="s">
        <v>30</v>
      </c>
      <c r="L240" s="1" t="s">
        <v>91</v>
      </c>
      <c r="M240" s="1" t="s">
        <v>40</v>
      </c>
      <c r="N240" s="3">
        <v>90554.549305555556</v>
      </c>
      <c r="O240" s="3">
        <v>90555.102777777778</v>
      </c>
      <c r="P240">
        <v>0</v>
      </c>
      <c r="Q240" t="str">
        <f>_xlfn.XLOOKUP(A240, patients!A:A, patients!B:B)</f>
        <v>F</v>
      </c>
      <c r="R240">
        <f>_xlfn.XLOOKUP(A240, patients!A:A, patients!C:C)</f>
        <v>64</v>
      </c>
      <c r="S240" t="str">
        <f t="shared" si="3"/>
        <v>50-70</v>
      </c>
      <c r="T240" s="1" t="str">
        <f>_xlfn.XLOOKUP(B240, diagnoses_icd!B:B, diagnoses_icd!D:D)</f>
        <v>Z794</v>
      </c>
    </row>
    <row r="241" spans="1:20" x14ac:dyDescent="0.2">
      <c r="A241">
        <v>10040025</v>
      </c>
      <c r="B241">
        <v>27996267</v>
      </c>
      <c r="C241" s="3">
        <v>90604.512499999997</v>
      </c>
      <c r="D241" s="3">
        <v>90616.868749999994</v>
      </c>
      <c r="E241" s="3"/>
      <c r="F241" s="1" t="s">
        <v>210</v>
      </c>
      <c r="G241" s="1" t="s">
        <v>232</v>
      </c>
      <c r="H241" s="1" t="s">
        <v>57</v>
      </c>
      <c r="I241" s="1" t="s">
        <v>111</v>
      </c>
      <c r="J241" s="1" t="s">
        <v>47</v>
      </c>
      <c r="K241" s="1" t="s">
        <v>30</v>
      </c>
      <c r="L241" s="1" t="s">
        <v>91</v>
      </c>
      <c r="M241" s="1" t="s">
        <v>40</v>
      </c>
      <c r="N241" s="3">
        <v>90603.615972222222</v>
      </c>
      <c r="O241" s="3">
        <v>90604.40416666666</v>
      </c>
      <c r="P241">
        <v>0</v>
      </c>
      <c r="Q241" t="str">
        <f>_xlfn.XLOOKUP(A241, patients!A:A, patients!B:B)</f>
        <v>F</v>
      </c>
      <c r="R241">
        <f>_xlfn.XLOOKUP(A241, patients!A:A, patients!C:C)</f>
        <v>64</v>
      </c>
      <c r="S241" t="str">
        <f t="shared" si="3"/>
        <v>50-70</v>
      </c>
      <c r="T241" s="1" t="str">
        <f>_xlfn.XLOOKUP(B241, diagnoses_icd!B:B, diagnoses_icd!D:D)</f>
        <v>E1122</v>
      </c>
    </row>
    <row r="242" spans="1:20" x14ac:dyDescent="0.2">
      <c r="A242">
        <v>10016742</v>
      </c>
      <c r="B242">
        <v>28506150</v>
      </c>
      <c r="C242" s="3">
        <v>101733.23611111111</v>
      </c>
      <c r="D242" s="3">
        <v>101736.08333333333</v>
      </c>
      <c r="E242" s="3"/>
      <c r="F242" s="1" t="s">
        <v>210</v>
      </c>
      <c r="G242" s="1" t="s">
        <v>64</v>
      </c>
      <c r="H242" s="1" t="s">
        <v>97</v>
      </c>
      <c r="I242" s="1" t="s">
        <v>28</v>
      </c>
      <c r="J242" s="1" t="s">
        <v>29</v>
      </c>
      <c r="K242" s="1" t="s">
        <v>30</v>
      </c>
      <c r="L242" s="1" t="s">
        <v>31</v>
      </c>
      <c r="M242" s="1" t="s">
        <v>62</v>
      </c>
      <c r="N242" s="3">
        <v>101733.19236111111</v>
      </c>
      <c r="O242" s="3">
        <v>101733.34444444445</v>
      </c>
      <c r="P242">
        <v>0</v>
      </c>
      <c r="Q242" t="str">
        <f>_xlfn.XLOOKUP(A242, patients!A:A, patients!B:B)</f>
        <v>F</v>
      </c>
      <c r="R242">
        <f>_xlfn.XLOOKUP(A242, patients!A:A, patients!C:C)</f>
        <v>58</v>
      </c>
      <c r="S242" t="str">
        <f t="shared" si="3"/>
        <v>50-70</v>
      </c>
      <c r="T242" s="1" t="str">
        <f>_xlfn.XLOOKUP(B242, diagnoses_icd!B:B, diagnoses_icd!D:D)</f>
        <v>I959</v>
      </c>
    </row>
    <row r="243" spans="1:20" x14ac:dyDescent="0.2">
      <c r="A243">
        <v>10016742</v>
      </c>
      <c r="B243">
        <v>27568122</v>
      </c>
      <c r="C243" s="3">
        <v>101742.30486111112</v>
      </c>
      <c r="D243" s="3">
        <v>101745.6875</v>
      </c>
      <c r="E243" s="3"/>
      <c r="F243" s="1" t="s">
        <v>210</v>
      </c>
      <c r="G243" s="1" t="s">
        <v>233</v>
      </c>
      <c r="H243" s="1" t="s">
        <v>97</v>
      </c>
      <c r="I243" s="1" t="s">
        <v>73</v>
      </c>
      <c r="J243" s="1" t="s">
        <v>29</v>
      </c>
      <c r="K243" s="1" t="s">
        <v>30</v>
      </c>
      <c r="L243" s="1" t="s">
        <v>31</v>
      </c>
      <c r="M243" s="1" t="s">
        <v>62</v>
      </c>
      <c r="N243" s="3">
        <v>101742.23680555556</v>
      </c>
      <c r="O243" s="3">
        <v>101742.34652777777</v>
      </c>
      <c r="P243">
        <v>0</v>
      </c>
      <c r="Q243" t="str">
        <f>_xlfn.XLOOKUP(A243, patients!A:A, patients!B:B)</f>
        <v>F</v>
      </c>
      <c r="R243">
        <f>_xlfn.XLOOKUP(A243, patients!A:A, patients!C:C)</f>
        <v>58</v>
      </c>
      <c r="S243" t="str">
        <f t="shared" si="3"/>
        <v>50-70</v>
      </c>
      <c r="T243" s="1" t="str">
        <f>_xlfn.XLOOKUP(B243, diagnoses_icd!B:B, diagnoses_icd!D:D)</f>
        <v>Z434</v>
      </c>
    </row>
    <row r="244" spans="1:20" x14ac:dyDescent="0.2">
      <c r="A244">
        <v>10010867</v>
      </c>
      <c r="B244">
        <v>22196214</v>
      </c>
      <c r="C244" s="3">
        <v>90648.979166666672</v>
      </c>
      <c r="D244" s="3">
        <v>90654.659722222219</v>
      </c>
      <c r="E244" s="3"/>
      <c r="F244" s="1" t="s">
        <v>210</v>
      </c>
      <c r="G244" s="1" t="s">
        <v>38</v>
      </c>
      <c r="H244" s="1" t="s">
        <v>97</v>
      </c>
      <c r="I244" s="1" t="s">
        <v>81</v>
      </c>
      <c r="J244" s="1" t="s">
        <v>47</v>
      </c>
      <c r="K244" s="1" t="s">
        <v>30</v>
      </c>
      <c r="L244" s="1" t="s">
        <v>91</v>
      </c>
      <c r="M244" s="1" t="s">
        <v>174</v>
      </c>
      <c r="N244" s="3">
        <v>90648.764583333337</v>
      </c>
      <c r="O244" s="3">
        <v>90649.034722222219</v>
      </c>
      <c r="P244">
        <v>0</v>
      </c>
      <c r="Q244" t="str">
        <f>_xlfn.XLOOKUP(A244, patients!A:A, patients!B:B)</f>
        <v>F</v>
      </c>
      <c r="R244">
        <f>_xlfn.XLOOKUP(A244, patients!A:A, patients!C:C)</f>
        <v>28</v>
      </c>
      <c r="S244" t="str">
        <f t="shared" si="3"/>
        <v>Under 30</v>
      </c>
      <c r="T244" s="1" t="str">
        <f>_xlfn.XLOOKUP(B244, diagnoses_icd!B:B, diagnoses_icd!D:D)</f>
        <v>E041</v>
      </c>
    </row>
    <row r="245" spans="1:20" x14ac:dyDescent="0.2">
      <c r="A245">
        <v>10010867</v>
      </c>
      <c r="B245">
        <v>22950920</v>
      </c>
      <c r="C245" s="3">
        <v>90606.95694444445</v>
      </c>
      <c r="D245" s="3">
        <v>90611.474305555559</v>
      </c>
      <c r="E245" s="3"/>
      <c r="F245" s="1" t="s">
        <v>210</v>
      </c>
      <c r="G245" s="1" t="s">
        <v>234</v>
      </c>
      <c r="H245" s="1" t="s">
        <v>97</v>
      </c>
      <c r="I245" s="1" t="s">
        <v>81</v>
      </c>
      <c r="J245" s="1" t="s">
        <v>47</v>
      </c>
      <c r="K245" s="1" t="s">
        <v>30</v>
      </c>
      <c r="L245" s="1" t="s">
        <v>91</v>
      </c>
      <c r="M245" s="1" t="s">
        <v>174</v>
      </c>
      <c r="N245" s="3">
        <v>90606.781944444447</v>
      </c>
      <c r="O245" s="3">
        <v>90607.06041666666</v>
      </c>
      <c r="P245">
        <v>0</v>
      </c>
      <c r="Q245" t="str">
        <f>_xlfn.XLOOKUP(A245, patients!A:A, patients!B:B)</f>
        <v>F</v>
      </c>
      <c r="R245">
        <f>_xlfn.XLOOKUP(A245, patients!A:A, patients!C:C)</f>
        <v>28</v>
      </c>
      <c r="S245" t="str">
        <f t="shared" si="3"/>
        <v>Under 30</v>
      </c>
      <c r="T245" s="1" t="str">
        <f>_xlfn.XLOOKUP(B245, diagnoses_icd!B:B, diagnoses_icd!D:D)</f>
        <v>Z981</v>
      </c>
    </row>
    <row r="246" spans="1:20" x14ac:dyDescent="0.2">
      <c r="A246">
        <v>10002428</v>
      </c>
      <c r="B246">
        <v>28295257</v>
      </c>
      <c r="C246" s="3">
        <v>95069.520833333328</v>
      </c>
      <c r="D246" s="3">
        <v>95073.666666666672</v>
      </c>
      <c r="E246" s="3"/>
      <c r="F246" s="1" t="s">
        <v>210</v>
      </c>
      <c r="G246" s="1" t="s">
        <v>235</v>
      </c>
      <c r="H246" s="1" t="s">
        <v>97</v>
      </c>
      <c r="I246" s="1" t="s">
        <v>28</v>
      </c>
      <c r="J246" s="1" t="s">
        <v>39</v>
      </c>
      <c r="K246" s="1" t="s">
        <v>30</v>
      </c>
      <c r="L246" s="1" t="s">
        <v>48</v>
      </c>
      <c r="M246" s="1" t="s">
        <v>40</v>
      </c>
      <c r="N246" s="3">
        <v>95069.375694444447</v>
      </c>
      <c r="O246" s="3">
        <v>95069.602777777778</v>
      </c>
      <c r="P246">
        <v>0</v>
      </c>
      <c r="Q246" t="str">
        <f>_xlfn.XLOOKUP(A246, patients!A:A, patients!B:B)</f>
        <v>F</v>
      </c>
      <c r="R246">
        <f>_xlfn.XLOOKUP(A246, patients!A:A, patients!C:C)</f>
        <v>80</v>
      </c>
      <c r="S246" t="str">
        <f t="shared" si="3"/>
        <v>70+</v>
      </c>
      <c r="T246" s="1" t="str">
        <f>_xlfn.XLOOKUP(B246, diagnoses_icd!B:B, diagnoses_icd!D:D)</f>
        <v>M8008XA</v>
      </c>
    </row>
    <row r="247" spans="1:20" x14ac:dyDescent="0.2">
      <c r="A247">
        <v>10005348</v>
      </c>
      <c r="B247">
        <v>29176490</v>
      </c>
      <c r="C247" s="3">
        <v>83784.666666666672</v>
      </c>
      <c r="D247" s="3">
        <v>83785.479166666672</v>
      </c>
      <c r="E247" s="3"/>
      <c r="F247" s="1" t="s">
        <v>236</v>
      </c>
      <c r="G247" s="1" t="s">
        <v>237</v>
      </c>
      <c r="H247" s="1" t="s">
        <v>86</v>
      </c>
      <c r="I247" s="1" t="s">
        <v>43</v>
      </c>
      <c r="J247" s="1" t="s">
        <v>47</v>
      </c>
      <c r="K247" s="1" t="s">
        <v>30</v>
      </c>
      <c r="L247" s="1" t="s">
        <v>36</v>
      </c>
      <c r="M247" s="1" t="s">
        <v>40</v>
      </c>
      <c r="N247" s="3"/>
      <c r="O247" s="3"/>
      <c r="P247">
        <v>0</v>
      </c>
      <c r="Q247" t="str">
        <f>_xlfn.XLOOKUP(A247, patients!A:A, patients!B:B)</f>
        <v>M</v>
      </c>
      <c r="R247">
        <f>_xlfn.XLOOKUP(A247, patients!A:A, patients!C:C)</f>
        <v>76</v>
      </c>
      <c r="S247" t="str">
        <f t="shared" si="3"/>
        <v>70+</v>
      </c>
      <c r="T247" s="1" t="str">
        <f>_xlfn.XLOOKUP(B247, diagnoses_icd!B:B, diagnoses_icd!D:D)</f>
        <v>2724</v>
      </c>
    </row>
    <row r="248" spans="1:20" x14ac:dyDescent="0.2">
      <c r="A248">
        <v>10020740</v>
      </c>
      <c r="B248">
        <v>29820177</v>
      </c>
      <c r="C248" s="3">
        <v>91502.922916666663</v>
      </c>
      <c r="D248" s="3">
        <v>91505.75</v>
      </c>
      <c r="E248" s="3"/>
      <c r="F248" s="1" t="s">
        <v>236</v>
      </c>
      <c r="G248" s="1" t="s">
        <v>238</v>
      </c>
      <c r="H248" s="1" t="s">
        <v>178</v>
      </c>
      <c r="I248" s="1" t="s">
        <v>43</v>
      </c>
      <c r="J248" s="1" t="s">
        <v>47</v>
      </c>
      <c r="K248" s="1" t="s">
        <v>30</v>
      </c>
      <c r="L248" s="1" t="s">
        <v>31</v>
      </c>
      <c r="M248" s="1" t="s">
        <v>40</v>
      </c>
      <c r="N248" s="3"/>
      <c r="O248" s="3"/>
      <c r="P248">
        <v>0</v>
      </c>
      <c r="Q248" t="str">
        <f>_xlfn.XLOOKUP(A248, patients!A:A, patients!B:B)</f>
        <v>M</v>
      </c>
      <c r="R248">
        <f>_xlfn.XLOOKUP(A248, patients!A:A, patients!C:C)</f>
        <v>56</v>
      </c>
      <c r="S248" t="str">
        <f t="shared" si="3"/>
        <v>50-70</v>
      </c>
      <c r="T248" s="1" t="str">
        <f>_xlfn.XLOOKUP(B248, diagnoses_icd!B:B, diagnoses_icd!D:D)</f>
        <v>5770</v>
      </c>
    </row>
    <row r="249" spans="1:20" x14ac:dyDescent="0.2">
      <c r="A249">
        <v>10039708</v>
      </c>
      <c r="B249">
        <v>22999601</v>
      </c>
      <c r="C249" s="3">
        <v>88525.718055555553</v>
      </c>
      <c r="D249" s="3">
        <v>88525.764583333337</v>
      </c>
      <c r="E249" s="3"/>
      <c r="F249" s="1" t="s">
        <v>236</v>
      </c>
      <c r="G249" s="1" t="s">
        <v>197</v>
      </c>
      <c r="H249" s="1" t="s">
        <v>86</v>
      </c>
      <c r="I249" s="1" t="s">
        <v>43</v>
      </c>
      <c r="J249" s="1" t="s">
        <v>47</v>
      </c>
      <c r="K249" s="1" t="s">
        <v>30</v>
      </c>
      <c r="L249" s="1" t="s">
        <v>31</v>
      </c>
      <c r="M249" s="1" t="s">
        <v>62</v>
      </c>
      <c r="N249" s="3">
        <v>88525.44930555555</v>
      </c>
      <c r="O249" s="3">
        <v>88525.764583333337</v>
      </c>
      <c r="P249">
        <v>0</v>
      </c>
      <c r="Q249" t="str">
        <f>_xlfn.XLOOKUP(A249, patients!A:A, patients!B:B)</f>
        <v>F</v>
      </c>
      <c r="R249">
        <f>_xlfn.XLOOKUP(A249, patients!A:A, patients!C:C)</f>
        <v>46</v>
      </c>
      <c r="S249" t="str">
        <f t="shared" si="3"/>
        <v>30-50</v>
      </c>
      <c r="T249" s="1" t="str">
        <f>_xlfn.XLOOKUP(B249, diagnoses_icd!B:B, diagnoses_icd!D:D)</f>
        <v>F17200</v>
      </c>
    </row>
    <row r="250" spans="1:20" x14ac:dyDescent="0.2">
      <c r="A250">
        <v>10012853</v>
      </c>
      <c r="B250">
        <v>20457729</v>
      </c>
      <c r="C250" s="3">
        <v>101481.39583333333</v>
      </c>
      <c r="D250" s="3">
        <v>101482.62916666667</v>
      </c>
      <c r="E250" s="3"/>
      <c r="F250" s="1" t="s">
        <v>236</v>
      </c>
      <c r="G250" s="1" t="s">
        <v>239</v>
      </c>
      <c r="H250" s="1" t="s">
        <v>86</v>
      </c>
      <c r="I250" s="1" t="s">
        <v>43</v>
      </c>
      <c r="J250" s="1" t="s">
        <v>39</v>
      </c>
      <c r="K250" s="1" t="s">
        <v>30</v>
      </c>
      <c r="L250" s="1" t="s">
        <v>48</v>
      </c>
      <c r="M250" s="1" t="s">
        <v>62</v>
      </c>
      <c r="N250" s="3"/>
      <c r="O250" s="3"/>
      <c r="P250">
        <v>0</v>
      </c>
      <c r="Q250" t="str">
        <f>_xlfn.XLOOKUP(A250, patients!A:A, patients!B:B)</f>
        <v>F</v>
      </c>
      <c r="R250">
        <f>_xlfn.XLOOKUP(A250, patients!A:A, patients!C:C)</f>
        <v>91</v>
      </c>
      <c r="S250" t="str">
        <f t="shared" si="3"/>
        <v>70+</v>
      </c>
      <c r="T250" s="1" t="str">
        <f>_xlfn.XLOOKUP(B250, diagnoses_icd!B:B, diagnoses_icd!D:D)</f>
        <v>J449</v>
      </c>
    </row>
    <row r="251" spans="1:20" x14ac:dyDescent="0.2">
      <c r="A251">
        <v>10012853</v>
      </c>
      <c r="B251">
        <v>26739864</v>
      </c>
      <c r="C251" s="3">
        <v>101216.30208333333</v>
      </c>
      <c r="D251" s="3">
        <v>101217.68055555556</v>
      </c>
      <c r="E251" s="3"/>
      <c r="F251" s="1" t="s">
        <v>236</v>
      </c>
      <c r="G251" s="1" t="s">
        <v>239</v>
      </c>
      <c r="H251" s="1" t="s">
        <v>86</v>
      </c>
      <c r="I251" s="1" t="s">
        <v>43</v>
      </c>
      <c r="J251" s="1" t="s">
        <v>39</v>
      </c>
      <c r="K251" s="1" t="s">
        <v>30</v>
      </c>
      <c r="L251" s="1" t="s">
        <v>48</v>
      </c>
      <c r="M251" s="1" t="s">
        <v>62</v>
      </c>
      <c r="N251" s="3"/>
      <c r="O251" s="3"/>
      <c r="P251">
        <v>0</v>
      </c>
      <c r="Q251" t="str">
        <f>_xlfn.XLOOKUP(A251, patients!A:A, patients!B:B)</f>
        <v>F</v>
      </c>
      <c r="R251">
        <f>_xlfn.XLOOKUP(A251, patients!A:A, patients!C:C)</f>
        <v>91</v>
      </c>
      <c r="S251" t="str">
        <f t="shared" si="3"/>
        <v>70+</v>
      </c>
      <c r="T251" s="1" t="str">
        <f>_xlfn.XLOOKUP(B251, diagnoses_icd!B:B, diagnoses_icd!D:D)</f>
        <v>I272</v>
      </c>
    </row>
    <row r="252" spans="1:20" x14ac:dyDescent="0.2">
      <c r="A252">
        <v>10004457</v>
      </c>
      <c r="B252">
        <v>25559382</v>
      </c>
      <c r="C252" s="3">
        <v>90839.596527777772</v>
      </c>
      <c r="D252" s="3">
        <v>90840.53125</v>
      </c>
      <c r="E252" s="3"/>
      <c r="F252" s="1" t="s">
        <v>236</v>
      </c>
      <c r="G252" s="1" t="s">
        <v>240</v>
      </c>
      <c r="H252" s="1" t="s">
        <v>86</v>
      </c>
      <c r="I252" s="1" t="s">
        <v>43</v>
      </c>
      <c r="J252" s="1" t="s">
        <v>39</v>
      </c>
      <c r="K252" s="1" t="s">
        <v>30</v>
      </c>
      <c r="L252" s="1" t="s">
        <v>91</v>
      </c>
      <c r="M252" s="1" t="s">
        <v>40</v>
      </c>
      <c r="N252" s="3"/>
      <c r="O252" s="3"/>
      <c r="P252">
        <v>0</v>
      </c>
      <c r="Q252" t="str">
        <f>_xlfn.XLOOKUP(A252, patients!A:A, patients!B:B)</f>
        <v>M</v>
      </c>
      <c r="R252">
        <f>_xlfn.XLOOKUP(A252, patients!A:A, patients!C:C)</f>
        <v>65</v>
      </c>
      <c r="S252" t="str">
        <f t="shared" si="3"/>
        <v>50-70</v>
      </c>
      <c r="T252" s="1" t="str">
        <f>_xlfn.XLOOKUP(B252, diagnoses_icd!B:B, diagnoses_icd!D:D)</f>
        <v>J45909</v>
      </c>
    </row>
    <row r="253" spans="1:20" x14ac:dyDescent="0.2">
      <c r="A253">
        <v>10007795</v>
      </c>
      <c r="B253">
        <v>27962747</v>
      </c>
      <c r="C253" s="3">
        <v>86404.71875</v>
      </c>
      <c r="D253" s="3">
        <v>86407.602083333331</v>
      </c>
      <c r="E253" s="3"/>
      <c r="F253" s="1" t="s">
        <v>236</v>
      </c>
      <c r="G253" s="1" t="s">
        <v>80</v>
      </c>
      <c r="H253" s="1" t="s">
        <v>86</v>
      </c>
      <c r="I253" s="1" t="s">
        <v>43</v>
      </c>
      <c r="J253" s="1" t="s">
        <v>39</v>
      </c>
      <c r="K253" s="1" t="s">
        <v>30</v>
      </c>
      <c r="L253" s="1" t="s">
        <v>31</v>
      </c>
      <c r="M253" s="1" t="s">
        <v>40</v>
      </c>
      <c r="N253" s="3"/>
      <c r="O253" s="3"/>
      <c r="P253">
        <v>0</v>
      </c>
      <c r="Q253" t="str">
        <f>_xlfn.XLOOKUP(A253, patients!A:A, patients!B:B)</f>
        <v>F</v>
      </c>
      <c r="R253">
        <f>_xlfn.XLOOKUP(A253, patients!A:A, patients!C:C)</f>
        <v>53</v>
      </c>
      <c r="S253" t="str">
        <f t="shared" si="3"/>
        <v>50-70</v>
      </c>
      <c r="T253" s="1" t="str">
        <f>_xlfn.XLOOKUP(B253, diagnoses_icd!B:B, diagnoses_icd!D:D)</f>
        <v>V851</v>
      </c>
    </row>
    <row r="254" spans="1:20" x14ac:dyDescent="0.2">
      <c r="A254">
        <v>10035631</v>
      </c>
      <c r="B254">
        <v>29654498</v>
      </c>
      <c r="C254" s="3">
        <v>77996.71875</v>
      </c>
      <c r="D254" s="3">
        <v>77997.621527777781</v>
      </c>
      <c r="E254" s="3"/>
      <c r="F254" s="1" t="s">
        <v>241</v>
      </c>
      <c r="G254" s="1" t="s">
        <v>242</v>
      </c>
      <c r="H254" s="1" t="s">
        <v>106</v>
      </c>
      <c r="I254" s="1" t="s">
        <v>43</v>
      </c>
      <c r="J254" s="1" t="s">
        <v>47</v>
      </c>
      <c r="K254" s="1" t="s">
        <v>30</v>
      </c>
      <c r="L254" s="1" t="s">
        <v>36</v>
      </c>
      <c r="M254" s="1" t="s">
        <v>40</v>
      </c>
      <c r="N254" s="3"/>
      <c r="O254" s="3"/>
      <c r="P254">
        <v>0</v>
      </c>
      <c r="Q254" t="str">
        <f>_xlfn.XLOOKUP(A254, patients!A:A, patients!B:B)</f>
        <v>M</v>
      </c>
      <c r="R254">
        <f>_xlfn.XLOOKUP(A254, patients!A:A, patients!C:C)</f>
        <v>63</v>
      </c>
      <c r="S254" t="str">
        <f t="shared" si="3"/>
        <v>50-70</v>
      </c>
      <c r="T254" s="1" t="str">
        <f>_xlfn.XLOOKUP(B254, diagnoses_icd!B:B, diagnoses_icd!D:D)</f>
        <v>1759</v>
      </c>
    </row>
    <row r="255" spans="1:20" x14ac:dyDescent="0.2">
      <c r="A255">
        <v>10020306</v>
      </c>
      <c r="B255">
        <v>28778757</v>
      </c>
      <c r="C255" s="3">
        <v>83944.333333333328</v>
      </c>
      <c r="D255" s="3">
        <v>83945.555555555562</v>
      </c>
      <c r="E255" s="3"/>
      <c r="F255" s="1" t="s">
        <v>241</v>
      </c>
      <c r="G255" s="1" t="s">
        <v>243</v>
      </c>
      <c r="H255" s="1" t="s">
        <v>106</v>
      </c>
      <c r="I255" s="1" t="s">
        <v>43</v>
      </c>
      <c r="J255" s="1" t="s">
        <v>39</v>
      </c>
      <c r="K255" s="1" t="s">
        <v>30</v>
      </c>
      <c r="L255" s="1" t="s">
        <v>31</v>
      </c>
      <c r="M255" s="1" t="s">
        <v>62</v>
      </c>
      <c r="N255" s="3"/>
      <c r="O255" s="3"/>
      <c r="P255">
        <v>0</v>
      </c>
      <c r="Q255" t="str">
        <f>_xlfn.XLOOKUP(A255, patients!A:A, patients!B:B)</f>
        <v>F</v>
      </c>
      <c r="R255">
        <f>_xlfn.XLOOKUP(A255, patients!A:A, patients!C:C)</f>
        <v>74</v>
      </c>
      <c r="S255" t="str">
        <f t="shared" si="3"/>
        <v>70+</v>
      </c>
      <c r="T255" s="1" t="str">
        <f>_xlfn.XLOOKUP(B255, diagnoses_icd!B:B, diagnoses_icd!D:D)</f>
        <v>4149</v>
      </c>
    </row>
    <row r="256" spans="1:20" x14ac:dyDescent="0.2">
      <c r="A256">
        <v>10040025</v>
      </c>
      <c r="B256">
        <v>27125816</v>
      </c>
      <c r="C256" s="3">
        <v>88832.523611111115</v>
      </c>
      <c r="D256" s="3">
        <v>88833.5</v>
      </c>
      <c r="E256" s="3"/>
      <c r="F256" s="1" t="s">
        <v>241</v>
      </c>
      <c r="G256" s="1" t="s">
        <v>149</v>
      </c>
      <c r="H256" s="1" t="s">
        <v>112</v>
      </c>
      <c r="I256" s="1" t="s">
        <v>43</v>
      </c>
      <c r="J256" s="1" t="s">
        <v>47</v>
      </c>
      <c r="K256" s="1" t="s">
        <v>30</v>
      </c>
      <c r="L256" s="1" t="s">
        <v>91</v>
      </c>
      <c r="M256" s="1" t="s">
        <v>40</v>
      </c>
      <c r="N256" s="3"/>
      <c r="O256" s="3"/>
      <c r="P256">
        <v>0</v>
      </c>
      <c r="Q256" t="str">
        <f>_xlfn.XLOOKUP(A256, patients!A:A, patients!B:B)</f>
        <v>F</v>
      </c>
      <c r="R256">
        <f>_xlfn.XLOOKUP(A256, patients!A:A, patients!C:C)</f>
        <v>64</v>
      </c>
      <c r="S256" t="str">
        <f t="shared" si="3"/>
        <v>50-70</v>
      </c>
      <c r="T256" s="1" t="str">
        <f>_xlfn.XLOOKUP(B256, diagnoses_icd!B:B, diagnoses_icd!D:D)</f>
        <v>5859</v>
      </c>
    </row>
    <row r="257" spans="1:20" x14ac:dyDescent="0.2">
      <c r="A257">
        <v>10004457</v>
      </c>
      <c r="B257">
        <v>21039249</v>
      </c>
      <c r="C257" s="3">
        <v>87920.570138888885</v>
      </c>
      <c r="D257" s="3">
        <v>87921.527777777781</v>
      </c>
      <c r="E257" s="3"/>
      <c r="F257" s="1" t="s">
        <v>241</v>
      </c>
      <c r="G257" s="1" t="s">
        <v>244</v>
      </c>
      <c r="H257" s="1" t="s">
        <v>112</v>
      </c>
      <c r="I257" s="1" t="s">
        <v>43</v>
      </c>
      <c r="J257" s="1" t="s">
        <v>39</v>
      </c>
      <c r="K257" s="1" t="s">
        <v>30</v>
      </c>
      <c r="L257" s="1" t="s">
        <v>31</v>
      </c>
      <c r="M257" s="1" t="s">
        <v>40</v>
      </c>
      <c r="N257" s="3"/>
      <c r="O257" s="3"/>
      <c r="P257">
        <v>0</v>
      </c>
      <c r="Q257" t="str">
        <f>_xlfn.XLOOKUP(A257, patients!A:A, patients!B:B)</f>
        <v>M</v>
      </c>
      <c r="R257">
        <f>_xlfn.XLOOKUP(A257, patients!A:A, patients!C:C)</f>
        <v>65</v>
      </c>
      <c r="S257" t="str">
        <f t="shared" si="3"/>
        <v>50-70</v>
      </c>
      <c r="T257" s="1" t="str">
        <f>_xlfn.XLOOKUP(B257, diagnoses_icd!B:B, diagnoses_icd!D:D)</f>
        <v>V8741</v>
      </c>
    </row>
    <row r="258" spans="1:20" x14ac:dyDescent="0.2">
      <c r="A258">
        <v>10004457</v>
      </c>
      <c r="B258">
        <v>21216581</v>
      </c>
      <c r="C258" s="3">
        <v>88823.465277777781</v>
      </c>
      <c r="D258" s="3">
        <v>88824.482638888891</v>
      </c>
      <c r="E258" s="3"/>
      <c r="F258" s="1" t="s">
        <v>241</v>
      </c>
      <c r="G258" s="1" t="s">
        <v>158</v>
      </c>
      <c r="H258" s="1" t="s">
        <v>112</v>
      </c>
      <c r="I258" s="1" t="s">
        <v>43</v>
      </c>
      <c r="J258" s="1" t="s">
        <v>39</v>
      </c>
      <c r="K258" s="1" t="s">
        <v>30</v>
      </c>
      <c r="L258" s="1" t="s">
        <v>91</v>
      </c>
      <c r="M258" s="1" t="s">
        <v>40</v>
      </c>
      <c r="N258" s="3"/>
      <c r="O258" s="3"/>
      <c r="P258">
        <v>0</v>
      </c>
      <c r="Q258" t="str">
        <f>_xlfn.XLOOKUP(A258, patients!A:A, patients!B:B)</f>
        <v>M</v>
      </c>
      <c r="R258">
        <f>_xlfn.XLOOKUP(A258, patients!A:A, patients!C:C)</f>
        <v>65</v>
      </c>
      <c r="S258" t="str">
        <f t="shared" ref="S258:S321" si="4">IF(R258&lt;30,"Under 30",
 IF(R258&lt;=50,"30-50",
 IF(R258&lt;=70,"50-70","70+")))</f>
        <v>50-70</v>
      </c>
      <c r="T258" s="1" t="str">
        <f>_xlfn.XLOOKUP(B258, diagnoses_icd!B:B, diagnoses_icd!D:D)</f>
        <v>V4581</v>
      </c>
    </row>
    <row r="259" spans="1:20" x14ac:dyDescent="0.2">
      <c r="A259">
        <v>10011398</v>
      </c>
      <c r="B259">
        <v>27505812</v>
      </c>
      <c r="C259" s="3">
        <v>90200.302083333328</v>
      </c>
      <c r="D259" s="3">
        <v>90204.567361111112</v>
      </c>
      <c r="E259" s="3"/>
      <c r="F259" s="1" t="s">
        <v>245</v>
      </c>
      <c r="G259" s="1" t="s">
        <v>59</v>
      </c>
      <c r="H259" s="1" t="s">
        <v>86</v>
      </c>
      <c r="I259" s="1" t="s">
        <v>34</v>
      </c>
      <c r="J259" s="1" t="s">
        <v>47</v>
      </c>
      <c r="K259" s="1" t="s">
        <v>30</v>
      </c>
      <c r="L259" s="1" t="s">
        <v>36</v>
      </c>
      <c r="M259" s="1" t="s">
        <v>200</v>
      </c>
      <c r="N259" s="3"/>
      <c r="O259" s="3"/>
      <c r="P259">
        <v>0</v>
      </c>
      <c r="Q259" t="str">
        <f>_xlfn.XLOOKUP(A259, patients!A:A, patients!B:B)</f>
        <v>M</v>
      </c>
      <c r="R259">
        <f>_xlfn.XLOOKUP(A259, patients!A:A, patients!C:C)</f>
        <v>67</v>
      </c>
      <c r="S259" t="str">
        <f t="shared" si="4"/>
        <v>50-70</v>
      </c>
      <c r="T259" s="1" t="str">
        <f>_xlfn.XLOOKUP(B259, diagnoses_icd!B:B, diagnoses_icd!D:D)</f>
        <v>5641</v>
      </c>
    </row>
    <row r="260" spans="1:20" x14ac:dyDescent="0.2">
      <c r="A260">
        <v>10014729</v>
      </c>
      <c r="B260">
        <v>28889419</v>
      </c>
      <c r="C260" s="3">
        <v>82239.302083333328</v>
      </c>
      <c r="D260" s="3">
        <v>82246.600694444438</v>
      </c>
      <c r="E260" s="3"/>
      <c r="F260" s="1" t="s">
        <v>245</v>
      </c>
      <c r="G260" s="1" t="s">
        <v>246</v>
      </c>
      <c r="H260" s="1" t="s">
        <v>86</v>
      </c>
      <c r="I260" s="1" t="s">
        <v>34</v>
      </c>
      <c r="J260" s="1" t="s">
        <v>47</v>
      </c>
      <c r="K260" s="1" t="s">
        <v>30</v>
      </c>
      <c r="L260" s="1" t="s">
        <v>31</v>
      </c>
      <c r="M260" s="1" t="s">
        <v>98</v>
      </c>
      <c r="N260" s="3"/>
      <c r="O260" s="3"/>
      <c r="P260">
        <v>0</v>
      </c>
      <c r="Q260" t="str">
        <f>_xlfn.XLOOKUP(A260, patients!A:A, patients!B:B)</f>
        <v>F</v>
      </c>
      <c r="R260">
        <f>_xlfn.XLOOKUP(A260, patients!A:A, patients!C:C)</f>
        <v>21</v>
      </c>
      <c r="S260" t="str">
        <f t="shared" si="4"/>
        <v>Under 30</v>
      </c>
      <c r="T260" s="1" t="str">
        <f>_xlfn.XLOOKUP(B260, diagnoses_icd!B:B, diagnoses_icd!D:D)</f>
        <v>E8495</v>
      </c>
    </row>
    <row r="261" spans="1:20" x14ac:dyDescent="0.2">
      <c r="A261">
        <v>10004235</v>
      </c>
      <c r="B261">
        <v>25970245</v>
      </c>
      <c r="C261" s="3">
        <v>108279.35416666667</v>
      </c>
      <c r="D261" s="3">
        <v>108284.62083333333</v>
      </c>
      <c r="E261" s="3"/>
      <c r="F261" s="1" t="s">
        <v>245</v>
      </c>
      <c r="G261" s="1" t="s">
        <v>90</v>
      </c>
      <c r="H261" s="1" t="s">
        <v>86</v>
      </c>
      <c r="I261" s="1" t="s">
        <v>34</v>
      </c>
      <c r="J261" s="1" t="s">
        <v>29</v>
      </c>
      <c r="K261" s="1" t="s">
        <v>30</v>
      </c>
      <c r="L261" s="1" t="s">
        <v>31</v>
      </c>
      <c r="M261" s="1" t="s">
        <v>32</v>
      </c>
      <c r="N261" s="3"/>
      <c r="O261" s="3"/>
      <c r="P261">
        <v>0</v>
      </c>
      <c r="Q261" t="str">
        <f>_xlfn.XLOOKUP(A261, patients!A:A, patients!B:B)</f>
        <v>M</v>
      </c>
      <c r="R261">
        <f>_xlfn.XLOOKUP(A261, patients!A:A, patients!C:C)</f>
        <v>47</v>
      </c>
      <c r="S261" t="str">
        <f t="shared" si="4"/>
        <v>30-50</v>
      </c>
      <c r="T261" s="1" t="str">
        <f>_xlfn.XLOOKUP(B261, diagnoses_icd!B:B, diagnoses_icd!D:D)</f>
        <v>57512</v>
      </c>
    </row>
    <row r="262" spans="1:20" x14ac:dyDescent="0.2">
      <c r="A262">
        <v>10039831</v>
      </c>
      <c r="B262">
        <v>26924951</v>
      </c>
      <c r="C262" s="3">
        <v>78890.302083333328</v>
      </c>
      <c r="D262" s="3">
        <v>78895.606944444444</v>
      </c>
      <c r="E262" s="3"/>
      <c r="F262" s="1" t="s">
        <v>245</v>
      </c>
      <c r="G262" s="1" t="s">
        <v>121</v>
      </c>
      <c r="H262" s="1" t="s">
        <v>86</v>
      </c>
      <c r="I262" s="1" t="s">
        <v>34</v>
      </c>
      <c r="J262" s="1" t="s">
        <v>47</v>
      </c>
      <c r="K262" s="1" t="s">
        <v>30</v>
      </c>
      <c r="L262" s="1" t="s">
        <v>36</v>
      </c>
      <c r="M262" s="1" t="s">
        <v>89</v>
      </c>
      <c r="N262" s="3"/>
      <c r="O262" s="3"/>
      <c r="P262">
        <v>0</v>
      </c>
      <c r="Q262" t="str">
        <f>_xlfn.XLOOKUP(A262, patients!A:A, patients!B:B)</f>
        <v>F</v>
      </c>
      <c r="R262">
        <f>_xlfn.XLOOKUP(A262, patients!A:A, patients!C:C)</f>
        <v>57</v>
      </c>
      <c r="S262" t="str">
        <f t="shared" si="4"/>
        <v>50-70</v>
      </c>
      <c r="T262" s="1" t="str">
        <f>_xlfn.XLOOKUP(B262, diagnoses_icd!B:B, diagnoses_icd!D:D)</f>
        <v>44489</v>
      </c>
    </row>
    <row r="263" spans="1:20" x14ac:dyDescent="0.2">
      <c r="A263">
        <v>10018328</v>
      </c>
      <c r="B263">
        <v>23786647</v>
      </c>
      <c r="C263" s="3">
        <v>92887.135416666672</v>
      </c>
      <c r="D263" s="3">
        <v>92896.583333333328</v>
      </c>
      <c r="E263" s="3"/>
      <c r="F263" s="1" t="s">
        <v>245</v>
      </c>
      <c r="G263" s="1" t="s">
        <v>212</v>
      </c>
      <c r="H263" s="1" t="s">
        <v>86</v>
      </c>
      <c r="I263" s="1" t="s">
        <v>34</v>
      </c>
      <c r="J263" s="1" t="s">
        <v>47</v>
      </c>
      <c r="K263" s="1" t="s">
        <v>30</v>
      </c>
      <c r="L263" s="1" t="s">
        <v>91</v>
      </c>
      <c r="M263" s="1" t="s">
        <v>40</v>
      </c>
      <c r="N263" s="3"/>
      <c r="O263" s="3"/>
      <c r="P263">
        <v>0</v>
      </c>
      <c r="Q263" t="str">
        <f>_xlfn.XLOOKUP(A263, patients!A:A, patients!B:B)</f>
        <v>F</v>
      </c>
      <c r="R263">
        <f>_xlfn.XLOOKUP(A263, patients!A:A, patients!C:C)</f>
        <v>83</v>
      </c>
      <c r="S263" t="str">
        <f t="shared" si="4"/>
        <v>70+</v>
      </c>
      <c r="T263" s="1" t="str">
        <f>_xlfn.XLOOKUP(B263, diagnoses_icd!B:B, diagnoses_icd!D:D)</f>
        <v>I97131</v>
      </c>
    </row>
    <row r="264" spans="1:20" x14ac:dyDescent="0.2">
      <c r="A264">
        <v>10018081</v>
      </c>
      <c r="B264">
        <v>28861356</v>
      </c>
      <c r="C264" s="3">
        <v>85682.302083333328</v>
      </c>
      <c r="D264" s="3">
        <v>85693.731944444444</v>
      </c>
      <c r="E264" s="3"/>
      <c r="F264" s="1" t="s">
        <v>245</v>
      </c>
      <c r="G264" s="1" t="s">
        <v>160</v>
      </c>
      <c r="H264" s="1" t="s">
        <v>86</v>
      </c>
      <c r="I264" s="1" t="s">
        <v>28</v>
      </c>
      <c r="J264" s="1" t="s">
        <v>39</v>
      </c>
      <c r="K264" s="1" t="s">
        <v>30</v>
      </c>
      <c r="L264" s="1" t="s">
        <v>36</v>
      </c>
      <c r="M264" s="1" t="s">
        <v>40</v>
      </c>
      <c r="N264" s="3"/>
      <c r="O264" s="3"/>
      <c r="P264">
        <v>0</v>
      </c>
      <c r="Q264" t="str">
        <f>_xlfn.XLOOKUP(A264, patients!A:A, patients!B:B)</f>
        <v>M</v>
      </c>
      <c r="R264">
        <f>_xlfn.XLOOKUP(A264, patients!A:A, patients!C:C)</f>
        <v>79</v>
      </c>
      <c r="S264" t="str">
        <f t="shared" si="4"/>
        <v>70+</v>
      </c>
      <c r="T264" s="1" t="str">
        <f>_xlfn.XLOOKUP(B264, diagnoses_icd!B:B, diagnoses_icd!D:D)</f>
        <v>5180</v>
      </c>
    </row>
    <row r="265" spans="1:20" x14ac:dyDescent="0.2">
      <c r="A265">
        <v>10027602</v>
      </c>
      <c r="B265">
        <v>21477991</v>
      </c>
      <c r="C265" s="3">
        <v>110284.5</v>
      </c>
      <c r="D265" s="3">
        <v>110290.57291666667</v>
      </c>
      <c r="E265" s="3"/>
      <c r="F265" s="1" t="s">
        <v>245</v>
      </c>
      <c r="G265" s="1" t="s">
        <v>212</v>
      </c>
      <c r="H265" s="1" t="s">
        <v>86</v>
      </c>
      <c r="I265" s="1" t="s">
        <v>81</v>
      </c>
      <c r="J265" s="1" t="s">
        <v>47</v>
      </c>
      <c r="K265" s="1" t="s">
        <v>30</v>
      </c>
      <c r="L265" s="1" t="s">
        <v>31</v>
      </c>
      <c r="M265" s="1" t="s">
        <v>40</v>
      </c>
      <c r="N265" s="3"/>
      <c r="O265" s="3"/>
      <c r="P265">
        <v>0</v>
      </c>
      <c r="Q265" t="str">
        <f>_xlfn.XLOOKUP(A265, patients!A:A, patients!B:B)</f>
        <v>F</v>
      </c>
      <c r="R265">
        <f>_xlfn.XLOOKUP(A265, patients!A:A, patients!C:C)</f>
        <v>71</v>
      </c>
      <c r="S265" t="str">
        <f t="shared" si="4"/>
        <v>70+</v>
      </c>
      <c r="T265" s="1" t="str">
        <f>_xlfn.XLOOKUP(B265, diagnoses_icd!B:B, diagnoses_icd!D:D)</f>
        <v>51889</v>
      </c>
    </row>
    <row r="266" spans="1:20" x14ac:dyDescent="0.2">
      <c r="A266">
        <v>10020187</v>
      </c>
      <c r="B266">
        <v>26842957</v>
      </c>
      <c r="C266" s="3">
        <v>98672</v>
      </c>
      <c r="D266" s="3">
        <v>98673.625</v>
      </c>
      <c r="E266" s="3"/>
      <c r="F266" s="1" t="s">
        <v>245</v>
      </c>
      <c r="G266" s="1" t="s">
        <v>212</v>
      </c>
      <c r="H266" s="1" t="s">
        <v>86</v>
      </c>
      <c r="I266" s="1" t="s">
        <v>46</v>
      </c>
      <c r="J266" s="1" t="s">
        <v>47</v>
      </c>
      <c r="K266" s="1" t="s">
        <v>35</v>
      </c>
      <c r="L266" s="1" t="s">
        <v>36</v>
      </c>
      <c r="M266" s="1" t="s">
        <v>87</v>
      </c>
      <c r="N266" s="3"/>
      <c r="O266" s="3"/>
      <c r="P266">
        <v>0</v>
      </c>
      <c r="Q266" t="str">
        <f>_xlfn.XLOOKUP(A266, patients!A:A, patients!B:B)</f>
        <v>F</v>
      </c>
      <c r="R266">
        <f>_xlfn.XLOOKUP(A266, patients!A:A, patients!C:C)</f>
        <v>63</v>
      </c>
      <c r="S266" t="str">
        <f t="shared" si="4"/>
        <v>50-70</v>
      </c>
      <c r="T266" s="1" t="str">
        <f>_xlfn.XLOOKUP(B266, diagnoses_icd!B:B, diagnoses_icd!D:D)</f>
        <v>Z96651</v>
      </c>
    </row>
    <row r="267" spans="1:20" x14ac:dyDescent="0.2">
      <c r="A267">
        <v>10003046</v>
      </c>
      <c r="B267">
        <v>26048429</v>
      </c>
      <c r="C267" s="3">
        <v>92775.302083333328</v>
      </c>
      <c r="D267" s="3">
        <v>92782.495138888888</v>
      </c>
      <c r="E267" s="3"/>
      <c r="F267" s="1" t="s">
        <v>245</v>
      </c>
      <c r="G267" s="1" t="s">
        <v>247</v>
      </c>
      <c r="H267" s="1" t="s">
        <v>86</v>
      </c>
      <c r="I267" s="1" t="s">
        <v>34</v>
      </c>
      <c r="J267" s="1" t="s">
        <v>47</v>
      </c>
      <c r="K267" s="1" t="s">
        <v>30</v>
      </c>
      <c r="L267" s="1" t="s">
        <v>31</v>
      </c>
      <c r="M267" s="1" t="s">
        <v>40</v>
      </c>
      <c r="N267" s="3"/>
      <c r="O267" s="3"/>
      <c r="P267">
        <v>0</v>
      </c>
      <c r="Q267" t="str">
        <f>_xlfn.XLOOKUP(A267, patients!A:A, patients!B:B)</f>
        <v>M</v>
      </c>
      <c r="R267">
        <f>_xlfn.XLOOKUP(A267, patients!A:A, patients!C:C)</f>
        <v>64</v>
      </c>
      <c r="S267" t="str">
        <f t="shared" si="4"/>
        <v>50-70</v>
      </c>
      <c r="T267" s="1" t="str">
        <f>_xlfn.XLOOKUP(B267, diagnoses_icd!B:B, diagnoses_icd!D:D)</f>
        <v>1505</v>
      </c>
    </row>
    <row r="268" spans="1:20" x14ac:dyDescent="0.2">
      <c r="A268">
        <v>10022017</v>
      </c>
      <c r="B268">
        <v>22342963</v>
      </c>
      <c r="C268" s="3">
        <v>105810</v>
      </c>
      <c r="D268" s="3">
        <v>105816.625</v>
      </c>
      <c r="E268" s="3"/>
      <c r="F268" s="1" t="s">
        <v>245</v>
      </c>
      <c r="G268" s="1" t="s">
        <v>59</v>
      </c>
      <c r="H268" s="1" t="s">
        <v>86</v>
      </c>
      <c r="I268" s="1" t="s">
        <v>34</v>
      </c>
      <c r="J268" s="1" t="s">
        <v>47</v>
      </c>
      <c r="K268" s="1" t="s">
        <v>30</v>
      </c>
      <c r="L268" s="1" t="s">
        <v>31</v>
      </c>
      <c r="M268" s="1" t="s">
        <v>40</v>
      </c>
      <c r="N268" s="3"/>
      <c r="O268" s="3"/>
      <c r="P268">
        <v>0</v>
      </c>
      <c r="Q268" t="str">
        <f>_xlfn.XLOOKUP(A268, patients!A:A, patients!B:B)</f>
        <v>M</v>
      </c>
      <c r="R268">
        <f>_xlfn.XLOOKUP(A268, patients!A:A, patients!C:C)</f>
        <v>59</v>
      </c>
      <c r="S268" t="str">
        <f t="shared" si="4"/>
        <v>50-70</v>
      </c>
      <c r="T268" s="1" t="str">
        <f>_xlfn.XLOOKUP(B268, diagnoses_icd!B:B, diagnoses_icd!D:D)</f>
        <v>I4891</v>
      </c>
    </row>
    <row r="269" spans="1:20" x14ac:dyDescent="0.2">
      <c r="A269">
        <v>10025612</v>
      </c>
      <c r="B269">
        <v>23403708</v>
      </c>
      <c r="C269" s="3">
        <v>82449.302083333328</v>
      </c>
      <c r="D269" s="3">
        <v>82457.516666666663</v>
      </c>
      <c r="E269" s="3"/>
      <c r="F269" s="1" t="s">
        <v>245</v>
      </c>
      <c r="G269" s="1" t="s">
        <v>88</v>
      </c>
      <c r="H269" s="1" t="s">
        <v>86</v>
      </c>
      <c r="I269" s="1" t="s">
        <v>34</v>
      </c>
      <c r="J269" s="1" t="s">
        <v>39</v>
      </c>
      <c r="K269" s="1" t="s">
        <v>30</v>
      </c>
      <c r="L269" s="1" t="s">
        <v>36</v>
      </c>
      <c r="M269" s="1" t="s">
        <v>40</v>
      </c>
      <c r="N269" s="3"/>
      <c r="O269" s="3"/>
      <c r="P269">
        <v>0</v>
      </c>
      <c r="Q269" t="str">
        <f>_xlfn.XLOOKUP(A269, patients!A:A, patients!B:B)</f>
        <v>M</v>
      </c>
      <c r="R269">
        <f>_xlfn.XLOOKUP(A269, patients!A:A, patients!C:C)</f>
        <v>82</v>
      </c>
      <c r="S269" t="str">
        <f t="shared" si="4"/>
        <v>70+</v>
      </c>
      <c r="T269" s="1" t="str">
        <f>_xlfn.XLOOKUP(B269, diagnoses_icd!B:B, diagnoses_icd!D:D)</f>
        <v>V1582</v>
      </c>
    </row>
    <row r="270" spans="1:20" x14ac:dyDescent="0.2">
      <c r="A270">
        <v>10039997</v>
      </c>
      <c r="B270">
        <v>24294180</v>
      </c>
      <c r="C270" s="3">
        <v>85718.5</v>
      </c>
      <c r="D270" s="3">
        <v>85722.548611111109</v>
      </c>
      <c r="E270" s="3"/>
      <c r="F270" s="1" t="s">
        <v>245</v>
      </c>
      <c r="G270" s="1" t="s">
        <v>109</v>
      </c>
      <c r="H270" s="1" t="s">
        <v>86</v>
      </c>
      <c r="I270" s="1" t="s">
        <v>46</v>
      </c>
      <c r="J270" s="1" t="s">
        <v>39</v>
      </c>
      <c r="K270" s="1" t="s">
        <v>30</v>
      </c>
      <c r="L270" s="1" t="s">
        <v>36</v>
      </c>
      <c r="M270" s="1" t="s">
        <v>62</v>
      </c>
      <c r="N270" s="3"/>
      <c r="O270" s="3"/>
      <c r="P270">
        <v>0</v>
      </c>
      <c r="Q270" t="str">
        <f>_xlfn.XLOOKUP(A270, patients!A:A, patients!B:B)</f>
        <v>F</v>
      </c>
      <c r="R270">
        <f>_xlfn.XLOOKUP(A270, patients!A:A, patients!C:C)</f>
        <v>67</v>
      </c>
      <c r="S270" t="str">
        <f t="shared" si="4"/>
        <v>50-70</v>
      </c>
      <c r="T270" s="1" t="str">
        <f>_xlfn.XLOOKUP(B270, diagnoses_icd!B:B, diagnoses_icd!D:D)</f>
        <v>2724</v>
      </c>
    </row>
    <row r="271" spans="1:20" x14ac:dyDescent="0.2">
      <c r="A271">
        <v>10023117</v>
      </c>
      <c r="B271">
        <v>29839885</v>
      </c>
      <c r="C271" s="3">
        <v>98898.302083333328</v>
      </c>
      <c r="D271" s="3">
        <v>98899.6875</v>
      </c>
      <c r="E271" s="3"/>
      <c r="F271" s="1" t="s">
        <v>245</v>
      </c>
      <c r="G271" s="1" t="s">
        <v>158</v>
      </c>
      <c r="H271" s="1" t="s">
        <v>86</v>
      </c>
      <c r="I271" s="1" t="s">
        <v>34</v>
      </c>
      <c r="J271" s="1" t="s">
        <v>39</v>
      </c>
      <c r="K271" s="1" t="s">
        <v>30</v>
      </c>
      <c r="L271" s="1" t="s">
        <v>48</v>
      </c>
      <c r="M271" s="1" t="s">
        <v>40</v>
      </c>
      <c r="N271" s="3"/>
      <c r="O271" s="3"/>
      <c r="P271">
        <v>0</v>
      </c>
      <c r="Q271" t="str">
        <f>_xlfn.XLOOKUP(A271, patients!A:A, patients!B:B)</f>
        <v>M</v>
      </c>
      <c r="R271">
        <f>_xlfn.XLOOKUP(A271, patients!A:A, patients!C:C)</f>
        <v>53</v>
      </c>
      <c r="S271" t="str">
        <f t="shared" si="4"/>
        <v>50-70</v>
      </c>
      <c r="T271" s="1" t="str">
        <f>_xlfn.XLOOKUP(B271, diagnoses_icd!B:B, diagnoses_icd!D:D)</f>
        <v>4280</v>
      </c>
    </row>
    <row r="272" spans="1:20" x14ac:dyDescent="0.2">
      <c r="A272">
        <v>10038992</v>
      </c>
      <c r="B272">
        <v>24745425</v>
      </c>
      <c r="C272" s="3">
        <v>105036.04513888889</v>
      </c>
      <c r="D272" s="3">
        <v>105041.70972222222</v>
      </c>
      <c r="E272" s="3"/>
      <c r="F272" s="1" t="s">
        <v>245</v>
      </c>
      <c r="G272" s="1" t="s">
        <v>33</v>
      </c>
      <c r="H272" s="1" t="s">
        <v>86</v>
      </c>
      <c r="I272" s="1" t="s">
        <v>28</v>
      </c>
      <c r="J272" s="1" t="s">
        <v>39</v>
      </c>
      <c r="K272" s="1" t="s">
        <v>30</v>
      </c>
      <c r="L272" s="1" t="s">
        <v>36</v>
      </c>
      <c r="M272" s="1" t="s">
        <v>40</v>
      </c>
      <c r="N272" s="3"/>
      <c r="O272" s="3"/>
      <c r="P272">
        <v>0</v>
      </c>
      <c r="Q272" t="str">
        <f>_xlfn.XLOOKUP(A272, patients!A:A, patients!B:B)</f>
        <v>M</v>
      </c>
      <c r="R272">
        <f>_xlfn.XLOOKUP(A272, patients!A:A, patients!C:C)</f>
        <v>70</v>
      </c>
      <c r="S272" t="str">
        <f t="shared" si="4"/>
        <v>50-70</v>
      </c>
      <c r="T272" s="1" t="str">
        <f>_xlfn.XLOOKUP(B272, diagnoses_icd!B:B, diagnoses_icd!D:D)</f>
        <v>D696</v>
      </c>
    </row>
    <row r="273" spans="1:20" x14ac:dyDescent="0.2">
      <c r="A273">
        <v>10008287</v>
      </c>
      <c r="B273">
        <v>22168393</v>
      </c>
      <c r="C273" s="3">
        <v>89757.053472222222</v>
      </c>
      <c r="D273" s="3">
        <v>89761.565972222219</v>
      </c>
      <c r="E273" s="3"/>
      <c r="F273" s="1" t="s">
        <v>245</v>
      </c>
      <c r="G273" s="1" t="s">
        <v>212</v>
      </c>
      <c r="H273" s="1" t="s">
        <v>86</v>
      </c>
      <c r="I273" s="1" t="s">
        <v>34</v>
      </c>
      <c r="J273" s="1" t="s">
        <v>47</v>
      </c>
      <c r="K273" s="1" t="s">
        <v>30</v>
      </c>
      <c r="L273" s="1" t="s">
        <v>31</v>
      </c>
      <c r="M273" s="1" t="s">
        <v>40</v>
      </c>
      <c r="N273" s="3"/>
      <c r="O273" s="3"/>
      <c r="P273">
        <v>0</v>
      </c>
      <c r="Q273" t="str">
        <f>_xlfn.XLOOKUP(A273, patients!A:A, patients!B:B)</f>
        <v>F</v>
      </c>
      <c r="R273">
        <f>_xlfn.XLOOKUP(A273, patients!A:A, patients!C:C)</f>
        <v>43</v>
      </c>
      <c r="S273" t="str">
        <f t="shared" si="4"/>
        <v>30-50</v>
      </c>
      <c r="T273" s="1" t="str">
        <f>_xlfn.XLOOKUP(B273, diagnoses_icd!B:B, diagnoses_icd!D:D)</f>
        <v>G40909</v>
      </c>
    </row>
    <row r="274" spans="1:20" x14ac:dyDescent="0.2">
      <c r="A274">
        <v>10022880</v>
      </c>
      <c r="B274">
        <v>27708593</v>
      </c>
      <c r="C274" s="3">
        <v>101245.30208333333</v>
      </c>
      <c r="D274" s="3">
        <v>101252.60069444444</v>
      </c>
      <c r="E274" s="3"/>
      <c r="F274" s="1" t="s">
        <v>245</v>
      </c>
      <c r="G274" s="1" t="s">
        <v>102</v>
      </c>
      <c r="H274" s="1" t="s">
        <v>86</v>
      </c>
      <c r="I274" s="1" t="s">
        <v>46</v>
      </c>
      <c r="J274" s="1" t="s">
        <v>39</v>
      </c>
      <c r="K274" s="1" t="s">
        <v>30</v>
      </c>
      <c r="L274" s="1" t="s">
        <v>36</v>
      </c>
      <c r="M274" s="1" t="s">
        <v>40</v>
      </c>
      <c r="N274" s="3"/>
      <c r="O274" s="3"/>
      <c r="P274">
        <v>0</v>
      </c>
      <c r="Q274" t="str">
        <f>_xlfn.XLOOKUP(A274, patients!A:A, patients!B:B)</f>
        <v>M</v>
      </c>
      <c r="R274">
        <f>_xlfn.XLOOKUP(A274, patients!A:A, patients!C:C)</f>
        <v>66</v>
      </c>
      <c r="S274" t="str">
        <f t="shared" si="4"/>
        <v>50-70</v>
      </c>
      <c r="T274" s="1" t="str">
        <f>_xlfn.XLOOKUP(B274, diagnoses_icd!B:B, diagnoses_icd!D:D)</f>
        <v>V5861</v>
      </c>
    </row>
    <row r="275" spans="1:20" x14ac:dyDescent="0.2">
      <c r="A275">
        <v>10004457</v>
      </c>
      <c r="B275">
        <v>23251352</v>
      </c>
      <c r="C275" s="3">
        <v>88376.458333333328</v>
      </c>
      <c r="D275" s="3">
        <v>88380.663888888885</v>
      </c>
      <c r="E275" s="3"/>
      <c r="F275" s="1" t="s">
        <v>245</v>
      </c>
      <c r="G275" s="1" t="s">
        <v>33</v>
      </c>
      <c r="H275" s="1" t="s">
        <v>86</v>
      </c>
      <c r="I275" s="1" t="s">
        <v>81</v>
      </c>
      <c r="J275" s="1" t="s">
        <v>39</v>
      </c>
      <c r="K275" s="1" t="s">
        <v>30</v>
      </c>
      <c r="L275" s="1" t="s">
        <v>31</v>
      </c>
      <c r="M275" s="1" t="s">
        <v>53</v>
      </c>
      <c r="N275" s="3"/>
      <c r="O275" s="3"/>
      <c r="P275">
        <v>0</v>
      </c>
      <c r="Q275" t="str">
        <f>_xlfn.XLOOKUP(A275, patients!A:A, patients!B:B)</f>
        <v>M</v>
      </c>
      <c r="R275">
        <f>_xlfn.XLOOKUP(A275, patients!A:A, patients!C:C)</f>
        <v>65</v>
      </c>
      <c r="S275" t="str">
        <f t="shared" si="4"/>
        <v>50-70</v>
      </c>
      <c r="T275" s="1" t="str">
        <f>_xlfn.XLOOKUP(B275, diagnoses_icd!B:B, diagnoses_icd!D:D)</f>
        <v>V1582</v>
      </c>
    </row>
    <row r="276" spans="1:20" x14ac:dyDescent="0.2">
      <c r="A276">
        <v>10004457</v>
      </c>
      <c r="B276">
        <v>28108313</v>
      </c>
      <c r="C276" s="3">
        <v>90569</v>
      </c>
      <c r="D276" s="3">
        <v>90571.673611111109</v>
      </c>
      <c r="E276" s="3"/>
      <c r="F276" s="1" t="s">
        <v>245</v>
      </c>
      <c r="G276" s="1" t="s">
        <v>232</v>
      </c>
      <c r="H276" s="1" t="s">
        <v>86</v>
      </c>
      <c r="I276" s="1" t="s">
        <v>28</v>
      </c>
      <c r="J276" s="1" t="s">
        <v>39</v>
      </c>
      <c r="K276" s="1" t="s">
        <v>30</v>
      </c>
      <c r="L276" s="1" t="s">
        <v>91</v>
      </c>
      <c r="M276" s="1" t="s">
        <v>40</v>
      </c>
      <c r="N276" s="3"/>
      <c r="O276" s="3"/>
      <c r="P276">
        <v>0</v>
      </c>
      <c r="Q276" t="str">
        <f>_xlfn.XLOOKUP(A276, patients!A:A, patients!B:B)</f>
        <v>M</v>
      </c>
      <c r="R276">
        <f>_xlfn.XLOOKUP(A276, patients!A:A, patients!C:C)</f>
        <v>65</v>
      </c>
      <c r="S276" t="str">
        <f t="shared" si="4"/>
        <v>50-70</v>
      </c>
      <c r="T276" s="1" t="str">
        <f>_xlfn.XLOOKUP(B276, diagnoses_icd!B:B, diagnoses_icd!D:D)</f>
        <v>Z8546</v>
      </c>
    </row>
  </sheetData>
  <pageMargins left="0.7" right="0.7" top="0.75" bottom="0.75" header="0.3" footer="0.3"/>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EBC5-F82C-8C49-931D-387A463436EA}">
  <dimension ref="A1:F101"/>
  <sheetViews>
    <sheetView workbookViewId="0"/>
  </sheetViews>
  <sheetFormatPr baseColWidth="10" defaultRowHeight="16" x14ac:dyDescent="0.2"/>
  <cols>
    <col min="1" max="1" width="12.1640625" customWidth="1"/>
    <col min="2" max="2" width="9.33203125" customWidth="1"/>
    <col min="3" max="3" width="13.1640625" customWidth="1"/>
    <col min="4" max="4" width="13.6640625" customWidth="1"/>
    <col min="5" max="5" width="19.33203125" customWidth="1"/>
    <col min="6" max="6" width="8.5" customWidth="1"/>
  </cols>
  <sheetData>
    <row r="1" spans="1:6" x14ac:dyDescent="0.2">
      <c r="A1" t="s">
        <v>0</v>
      </c>
      <c r="B1" t="s">
        <v>1</v>
      </c>
      <c r="C1" t="s">
        <v>2</v>
      </c>
      <c r="D1" t="s">
        <v>3</v>
      </c>
      <c r="E1" t="s">
        <v>4</v>
      </c>
      <c r="F1" t="s">
        <v>5</v>
      </c>
    </row>
    <row r="2" spans="1:6" x14ac:dyDescent="0.2">
      <c r="A2">
        <v>10014729</v>
      </c>
      <c r="B2" s="1" t="s">
        <v>6</v>
      </c>
      <c r="C2">
        <v>21</v>
      </c>
      <c r="D2">
        <v>2125</v>
      </c>
      <c r="E2" s="1" t="s">
        <v>7</v>
      </c>
      <c r="F2" s="2"/>
    </row>
    <row r="3" spans="1:6" x14ac:dyDescent="0.2">
      <c r="A3">
        <v>10003400</v>
      </c>
      <c r="B3" s="1" t="s">
        <v>6</v>
      </c>
      <c r="C3">
        <v>72</v>
      </c>
      <c r="D3">
        <v>2134</v>
      </c>
      <c r="E3" s="1" t="s">
        <v>7</v>
      </c>
      <c r="F3" s="2">
        <v>86809</v>
      </c>
    </row>
    <row r="4" spans="1:6" x14ac:dyDescent="0.2">
      <c r="A4">
        <v>10002428</v>
      </c>
      <c r="B4" s="1" t="s">
        <v>6</v>
      </c>
      <c r="C4">
        <v>80</v>
      </c>
      <c r="D4">
        <v>2155</v>
      </c>
      <c r="E4" s="1" t="s">
        <v>7</v>
      </c>
      <c r="F4" s="2"/>
    </row>
    <row r="5" spans="1:6" x14ac:dyDescent="0.2">
      <c r="A5">
        <v>10032725</v>
      </c>
      <c r="B5" s="1" t="s">
        <v>6</v>
      </c>
      <c r="C5">
        <v>38</v>
      </c>
      <c r="D5">
        <v>2143</v>
      </c>
      <c r="E5" s="1" t="s">
        <v>7</v>
      </c>
      <c r="F5" s="2">
        <v>88844</v>
      </c>
    </row>
    <row r="6" spans="1:6" x14ac:dyDescent="0.2">
      <c r="A6">
        <v>10027445</v>
      </c>
      <c r="B6" s="1" t="s">
        <v>6</v>
      </c>
      <c r="C6">
        <v>48</v>
      </c>
      <c r="D6">
        <v>2142</v>
      </c>
      <c r="E6" s="1" t="s">
        <v>7</v>
      </c>
      <c r="F6" s="2">
        <v>89891</v>
      </c>
    </row>
    <row r="7" spans="1:6" x14ac:dyDescent="0.2">
      <c r="A7">
        <v>10037928</v>
      </c>
      <c r="B7" s="1" t="s">
        <v>6</v>
      </c>
      <c r="C7">
        <v>78</v>
      </c>
      <c r="D7">
        <v>2175</v>
      </c>
      <c r="E7" s="1" t="s">
        <v>7</v>
      </c>
      <c r="F7" s="2"/>
    </row>
    <row r="8" spans="1:6" x14ac:dyDescent="0.2">
      <c r="A8">
        <v>10001725</v>
      </c>
      <c r="B8" s="1" t="s">
        <v>6</v>
      </c>
      <c r="C8">
        <v>46</v>
      </c>
      <c r="D8">
        <v>2110</v>
      </c>
      <c r="E8" s="1" t="s">
        <v>7</v>
      </c>
      <c r="F8" s="2"/>
    </row>
    <row r="9" spans="1:6" x14ac:dyDescent="0.2">
      <c r="A9">
        <v>10040025</v>
      </c>
      <c r="B9" s="1" t="s">
        <v>6</v>
      </c>
      <c r="C9">
        <v>64</v>
      </c>
      <c r="D9">
        <v>2143</v>
      </c>
      <c r="E9" s="1" t="s">
        <v>7</v>
      </c>
      <c r="F9" s="2">
        <v>90619</v>
      </c>
    </row>
    <row r="10" spans="1:6" x14ac:dyDescent="0.2">
      <c r="A10">
        <v>10008454</v>
      </c>
      <c r="B10" s="1" t="s">
        <v>6</v>
      </c>
      <c r="C10">
        <v>26</v>
      </c>
      <c r="D10">
        <v>2110</v>
      </c>
      <c r="E10" s="1" t="s">
        <v>7</v>
      </c>
      <c r="F10" s="2"/>
    </row>
    <row r="11" spans="1:6" x14ac:dyDescent="0.2">
      <c r="A11">
        <v>10020640</v>
      </c>
      <c r="B11" s="1" t="s">
        <v>6</v>
      </c>
      <c r="C11">
        <v>91</v>
      </c>
      <c r="D11">
        <v>2153</v>
      </c>
      <c r="E11" s="1" t="s">
        <v>7</v>
      </c>
      <c r="F11" s="2">
        <v>92808</v>
      </c>
    </row>
    <row r="12" spans="1:6" x14ac:dyDescent="0.2">
      <c r="A12">
        <v>10014078</v>
      </c>
      <c r="B12" s="1" t="s">
        <v>6</v>
      </c>
      <c r="C12">
        <v>60</v>
      </c>
      <c r="D12">
        <v>2166</v>
      </c>
      <c r="E12" s="1" t="s">
        <v>7</v>
      </c>
      <c r="F12" s="2"/>
    </row>
    <row r="13" spans="1:6" x14ac:dyDescent="0.2">
      <c r="A13">
        <v>10007795</v>
      </c>
      <c r="B13" s="1" t="s">
        <v>6</v>
      </c>
      <c r="C13">
        <v>53</v>
      </c>
      <c r="D13">
        <v>2136</v>
      </c>
      <c r="E13" s="1" t="s">
        <v>7</v>
      </c>
      <c r="F13" s="2"/>
    </row>
    <row r="14" spans="1:6" x14ac:dyDescent="0.2">
      <c r="A14">
        <v>10001217</v>
      </c>
      <c r="B14" s="1" t="s">
        <v>6</v>
      </c>
      <c r="C14">
        <v>55</v>
      </c>
      <c r="D14">
        <v>2157</v>
      </c>
      <c r="E14" s="1" t="s">
        <v>7</v>
      </c>
      <c r="F14" s="2"/>
    </row>
    <row r="15" spans="1:6" x14ac:dyDescent="0.2">
      <c r="A15">
        <v>10019172</v>
      </c>
      <c r="B15" s="1" t="s">
        <v>6</v>
      </c>
      <c r="C15">
        <v>63</v>
      </c>
      <c r="D15">
        <v>2118</v>
      </c>
      <c r="E15" s="1" t="s">
        <v>7</v>
      </c>
      <c r="F15" s="2"/>
    </row>
    <row r="16" spans="1:6" x14ac:dyDescent="0.2">
      <c r="A16">
        <v>10039831</v>
      </c>
      <c r="B16" s="1" t="s">
        <v>6</v>
      </c>
      <c r="C16">
        <v>57</v>
      </c>
      <c r="D16">
        <v>2115</v>
      </c>
      <c r="E16" s="1" t="s">
        <v>7</v>
      </c>
      <c r="F16" s="2"/>
    </row>
    <row r="17" spans="1:6" x14ac:dyDescent="0.2">
      <c r="A17">
        <v>10007928</v>
      </c>
      <c r="B17" s="1" t="s">
        <v>6</v>
      </c>
      <c r="C17">
        <v>59</v>
      </c>
      <c r="D17">
        <v>2129</v>
      </c>
      <c r="E17" s="1" t="s">
        <v>7</v>
      </c>
      <c r="F17" s="2"/>
    </row>
    <row r="18" spans="1:6" x14ac:dyDescent="0.2">
      <c r="A18">
        <v>10019003</v>
      </c>
      <c r="B18" s="1" t="s">
        <v>6</v>
      </c>
      <c r="C18">
        <v>65</v>
      </c>
      <c r="D18">
        <v>2148</v>
      </c>
      <c r="E18" s="1" t="s">
        <v>7</v>
      </c>
      <c r="F18" s="2">
        <v>93475</v>
      </c>
    </row>
    <row r="19" spans="1:6" x14ac:dyDescent="0.2">
      <c r="A19">
        <v>10002930</v>
      </c>
      <c r="B19" s="1" t="s">
        <v>6</v>
      </c>
      <c r="C19">
        <v>48</v>
      </c>
      <c r="D19">
        <v>2193</v>
      </c>
      <c r="E19" s="1" t="s">
        <v>7</v>
      </c>
      <c r="F19" s="2">
        <v>110297</v>
      </c>
    </row>
    <row r="20" spans="1:6" x14ac:dyDescent="0.2">
      <c r="A20">
        <v>10010471</v>
      </c>
      <c r="B20" s="1" t="s">
        <v>6</v>
      </c>
      <c r="C20">
        <v>89</v>
      </c>
      <c r="D20">
        <v>2155</v>
      </c>
      <c r="E20" s="1" t="s">
        <v>8</v>
      </c>
      <c r="F20" s="2">
        <v>93479</v>
      </c>
    </row>
    <row r="21" spans="1:6" x14ac:dyDescent="0.2">
      <c r="A21">
        <v>10027602</v>
      </c>
      <c r="B21" s="1" t="s">
        <v>6</v>
      </c>
      <c r="C21">
        <v>71</v>
      </c>
      <c r="D21">
        <v>2201</v>
      </c>
      <c r="E21" s="1" t="s">
        <v>8</v>
      </c>
      <c r="F21" s="2"/>
    </row>
    <row r="22" spans="1:6" x14ac:dyDescent="0.2">
      <c r="A22">
        <v>10031757</v>
      </c>
      <c r="B22" s="1" t="s">
        <v>6</v>
      </c>
      <c r="C22">
        <v>67</v>
      </c>
      <c r="D22">
        <v>2137</v>
      </c>
      <c r="E22" s="1" t="s">
        <v>8</v>
      </c>
      <c r="F22" s="2">
        <v>86868</v>
      </c>
    </row>
    <row r="23" spans="1:6" x14ac:dyDescent="0.2">
      <c r="A23">
        <v>10016742</v>
      </c>
      <c r="B23" s="1" t="s">
        <v>6</v>
      </c>
      <c r="C23">
        <v>58</v>
      </c>
      <c r="D23">
        <v>2178</v>
      </c>
      <c r="E23" s="1" t="s">
        <v>8</v>
      </c>
      <c r="F23" s="2"/>
    </row>
    <row r="24" spans="1:6" x14ac:dyDescent="0.2">
      <c r="A24">
        <v>10039997</v>
      </c>
      <c r="B24" s="1" t="s">
        <v>6</v>
      </c>
      <c r="C24">
        <v>67</v>
      </c>
      <c r="D24">
        <v>2134</v>
      </c>
      <c r="E24" s="1" t="s">
        <v>8</v>
      </c>
      <c r="F24" s="2"/>
    </row>
    <row r="25" spans="1:6" x14ac:dyDescent="0.2">
      <c r="A25">
        <v>10012853</v>
      </c>
      <c r="B25" s="1" t="s">
        <v>6</v>
      </c>
      <c r="C25">
        <v>91</v>
      </c>
      <c r="D25">
        <v>2175</v>
      </c>
      <c r="E25" s="1" t="s">
        <v>8</v>
      </c>
      <c r="F25" s="2"/>
    </row>
    <row r="26" spans="1:6" x14ac:dyDescent="0.2">
      <c r="A26">
        <v>10000032</v>
      </c>
      <c r="B26" s="1" t="s">
        <v>6</v>
      </c>
      <c r="C26">
        <v>52</v>
      </c>
      <c r="D26">
        <v>2180</v>
      </c>
      <c r="E26" s="1" t="s">
        <v>8</v>
      </c>
      <c r="F26" s="2">
        <v>102522</v>
      </c>
    </row>
    <row r="27" spans="1:6" x14ac:dyDescent="0.2">
      <c r="A27">
        <v>10031404</v>
      </c>
      <c r="B27" s="1" t="s">
        <v>6</v>
      </c>
      <c r="C27">
        <v>82</v>
      </c>
      <c r="D27">
        <v>2113</v>
      </c>
      <c r="E27" s="1" t="s">
        <v>8</v>
      </c>
      <c r="F27" s="2"/>
    </row>
    <row r="28" spans="1:6" x14ac:dyDescent="0.2">
      <c r="A28">
        <v>10029291</v>
      </c>
      <c r="B28" s="1" t="s">
        <v>6</v>
      </c>
      <c r="C28">
        <v>50</v>
      </c>
      <c r="D28">
        <v>2123</v>
      </c>
      <c r="E28" s="1" t="s">
        <v>8</v>
      </c>
      <c r="F28" s="2"/>
    </row>
    <row r="29" spans="1:6" x14ac:dyDescent="0.2">
      <c r="A29">
        <v>10005909</v>
      </c>
      <c r="B29" s="1" t="s">
        <v>6</v>
      </c>
      <c r="C29">
        <v>40</v>
      </c>
      <c r="D29">
        <v>2144</v>
      </c>
      <c r="E29" s="1" t="s">
        <v>8</v>
      </c>
      <c r="F29" s="2"/>
    </row>
    <row r="30" spans="1:6" x14ac:dyDescent="0.2">
      <c r="A30">
        <v>10039708</v>
      </c>
      <c r="B30" s="1" t="s">
        <v>6</v>
      </c>
      <c r="C30">
        <v>46</v>
      </c>
      <c r="D30">
        <v>2138</v>
      </c>
      <c r="E30" s="1" t="s">
        <v>8</v>
      </c>
      <c r="F30" s="2"/>
    </row>
    <row r="31" spans="1:6" x14ac:dyDescent="0.2">
      <c r="A31">
        <v>10019568</v>
      </c>
      <c r="B31" s="1" t="s">
        <v>6</v>
      </c>
      <c r="C31">
        <v>59</v>
      </c>
      <c r="D31">
        <v>2120</v>
      </c>
      <c r="E31" s="1" t="s">
        <v>8</v>
      </c>
      <c r="F31" s="2"/>
    </row>
    <row r="32" spans="1:6" x14ac:dyDescent="0.2">
      <c r="A32">
        <v>10020187</v>
      </c>
      <c r="B32" s="1" t="s">
        <v>6</v>
      </c>
      <c r="C32">
        <v>63</v>
      </c>
      <c r="D32">
        <v>2169</v>
      </c>
      <c r="E32" s="1" t="s">
        <v>8</v>
      </c>
      <c r="F32" s="2"/>
    </row>
    <row r="33" spans="1:6" x14ac:dyDescent="0.2">
      <c r="A33">
        <v>10016810</v>
      </c>
      <c r="B33" s="1" t="s">
        <v>6</v>
      </c>
      <c r="C33">
        <v>66</v>
      </c>
      <c r="D33">
        <v>2185</v>
      </c>
      <c r="E33" s="1" t="s">
        <v>8</v>
      </c>
      <c r="F33" s="2"/>
    </row>
    <row r="34" spans="1:6" x14ac:dyDescent="0.2">
      <c r="A34">
        <v>10038081</v>
      </c>
      <c r="B34" s="1" t="s">
        <v>6</v>
      </c>
      <c r="C34">
        <v>63</v>
      </c>
      <c r="D34">
        <v>2115</v>
      </c>
      <c r="E34" s="1" t="s">
        <v>8</v>
      </c>
      <c r="F34" s="2">
        <v>78813</v>
      </c>
    </row>
    <row r="35" spans="1:6" x14ac:dyDescent="0.2">
      <c r="A35">
        <v>10021312</v>
      </c>
      <c r="B35" s="1" t="s">
        <v>6</v>
      </c>
      <c r="C35">
        <v>55</v>
      </c>
      <c r="D35">
        <v>2113</v>
      </c>
      <c r="E35" s="1" t="s">
        <v>8</v>
      </c>
      <c r="F35" s="2"/>
    </row>
    <row r="36" spans="1:6" x14ac:dyDescent="0.2">
      <c r="A36">
        <v>10006580</v>
      </c>
      <c r="B36" s="1" t="s">
        <v>6</v>
      </c>
      <c r="C36">
        <v>63</v>
      </c>
      <c r="D36">
        <v>2137</v>
      </c>
      <c r="E36" s="1" t="s">
        <v>8</v>
      </c>
      <c r="F36" s="2"/>
    </row>
    <row r="37" spans="1:6" x14ac:dyDescent="0.2">
      <c r="A37">
        <v>10010867</v>
      </c>
      <c r="B37" s="1" t="s">
        <v>6</v>
      </c>
      <c r="C37">
        <v>28</v>
      </c>
      <c r="D37">
        <v>2147</v>
      </c>
      <c r="E37" s="1" t="s">
        <v>8</v>
      </c>
      <c r="F37" s="2"/>
    </row>
    <row r="38" spans="1:6" x14ac:dyDescent="0.2">
      <c r="A38">
        <v>10020786</v>
      </c>
      <c r="B38" s="1" t="s">
        <v>6</v>
      </c>
      <c r="C38">
        <v>86</v>
      </c>
      <c r="D38">
        <v>2189</v>
      </c>
      <c r="E38" s="1" t="s">
        <v>8</v>
      </c>
      <c r="F38" s="2"/>
    </row>
    <row r="39" spans="1:6" x14ac:dyDescent="0.2">
      <c r="A39">
        <v>10020306</v>
      </c>
      <c r="B39" s="1" t="s">
        <v>6</v>
      </c>
      <c r="C39">
        <v>74</v>
      </c>
      <c r="D39">
        <v>2129</v>
      </c>
      <c r="E39" s="1" t="s">
        <v>8</v>
      </c>
      <c r="F39" s="2"/>
    </row>
    <row r="40" spans="1:6" x14ac:dyDescent="0.2">
      <c r="A40">
        <v>10023239</v>
      </c>
      <c r="B40" s="1" t="s">
        <v>6</v>
      </c>
      <c r="C40">
        <v>29</v>
      </c>
      <c r="D40">
        <v>2137</v>
      </c>
      <c r="E40" s="1" t="s">
        <v>8</v>
      </c>
      <c r="F40" s="2"/>
    </row>
    <row r="41" spans="1:6" x14ac:dyDescent="0.2">
      <c r="A41">
        <v>10018328</v>
      </c>
      <c r="B41" s="1" t="s">
        <v>6</v>
      </c>
      <c r="C41">
        <v>83</v>
      </c>
      <c r="D41">
        <v>2154</v>
      </c>
      <c r="E41" s="1" t="s">
        <v>8</v>
      </c>
      <c r="F41" s="2"/>
    </row>
    <row r="42" spans="1:6" x14ac:dyDescent="0.2">
      <c r="A42">
        <v>10008287</v>
      </c>
      <c r="B42" s="1" t="s">
        <v>6</v>
      </c>
      <c r="C42">
        <v>43</v>
      </c>
      <c r="D42">
        <v>2145</v>
      </c>
      <c r="E42" s="1" t="s">
        <v>8</v>
      </c>
      <c r="F42" s="2"/>
    </row>
    <row r="43" spans="1:6" x14ac:dyDescent="0.2">
      <c r="A43">
        <v>10036156</v>
      </c>
      <c r="B43" s="1" t="s">
        <v>6</v>
      </c>
      <c r="C43">
        <v>88</v>
      </c>
      <c r="D43">
        <v>2157</v>
      </c>
      <c r="E43" s="1" t="s">
        <v>8</v>
      </c>
      <c r="F43" s="2"/>
    </row>
    <row r="44" spans="1:6" x14ac:dyDescent="0.2">
      <c r="A44">
        <v>10015272</v>
      </c>
      <c r="B44" s="1" t="s">
        <v>6</v>
      </c>
      <c r="C44">
        <v>78</v>
      </c>
      <c r="D44">
        <v>2137</v>
      </c>
      <c r="E44" s="1" t="s">
        <v>8</v>
      </c>
      <c r="F44" s="2"/>
    </row>
    <row r="45" spans="1:6" x14ac:dyDescent="0.2">
      <c r="A45">
        <v>10022281</v>
      </c>
      <c r="B45" s="1" t="s">
        <v>9</v>
      </c>
      <c r="C45">
        <v>84</v>
      </c>
      <c r="D45">
        <v>2125</v>
      </c>
      <c r="E45" s="1" t="s">
        <v>7</v>
      </c>
      <c r="F45" s="2"/>
    </row>
    <row r="46" spans="1:6" x14ac:dyDescent="0.2">
      <c r="A46">
        <v>10035631</v>
      </c>
      <c r="B46" s="1" t="s">
        <v>9</v>
      </c>
      <c r="C46">
        <v>63</v>
      </c>
      <c r="D46">
        <v>2112</v>
      </c>
      <c r="E46" s="1" t="s">
        <v>7</v>
      </c>
      <c r="F46" s="2">
        <v>78965</v>
      </c>
    </row>
    <row r="47" spans="1:6" x14ac:dyDescent="0.2">
      <c r="A47">
        <v>10024043</v>
      </c>
      <c r="B47" s="1" t="s">
        <v>9</v>
      </c>
      <c r="C47">
        <v>67</v>
      </c>
      <c r="D47">
        <v>2117</v>
      </c>
      <c r="E47" s="1" t="s">
        <v>7</v>
      </c>
      <c r="F47" s="2">
        <v>79436</v>
      </c>
    </row>
    <row r="48" spans="1:6" x14ac:dyDescent="0.2">
      <c r="A48">
        <v>10025612</v>
      </c>
      <c r="B48" s="1" t="s">
        <v>9</v>
      </c>
      <c r="C48">
        <v>82</v>
      </c>
      <c r="D48">
        <v>2125</v>
      </c>
      <c r="E48" s="1" t="s">
        <v>7</v>
      </c>
      <c r="F48" s="2"/>
    </row>
    <row r="49" spans="1:6" x14ac:dyDescent="0.2">
      <c r="A49">
        <v>10003046</v>
      </c>
      <c r="B49" s="1" t="s">
        <v>9</v>
      </c>
      <c r="C49">
        <v>64</v>
      </c>
      <c r="D49">
        <v>2154</v>
      </c>
      <c r="E49" s="1" t="s">
        <v>7</v>
      </c>
      <c r="F49" s="2"/>
    </row>
    <row r="50" spans="1:6" x14ac:dyDescent="0.2">
      <c r="A50">
        <v>10021666</v>
      </c>
      <c r="B50" s="1" t="s">
        <v>9</v>
      </c>
      <c r="C50">
        <v>87</v>
      </c>
      <c r="D50">
        <v>2172</v>
      </c>
      <c r="E50" s="1" t="s">
        <v>7</v>
      </c>
      <c r="F50" s="2">
        <v>99457</v>
      </c>
    </row>
    <row r="51" spans="1:6" x14ac:dyDescent="0.2">
      <c r="A51">
        <v>10018423</v>
      </c>
      <c r="B51" s="1" t="s">
        <v>9</v>
      </c>
      <c r="C51">
        <v>37</v>
      </c>
      <c r="D51">
        <v>2162</v>
      </c>
      <c r="E51" s="1" t="s">
        <v>7</v>
      </c>
      <c r="F51" s="2"/>
    </row>
    <row r="52" spans="1:6" x14ac:dyDescent="0.2">
      <c r="A52">
        <v>10025463</v>
      </c>
      <c r="B52" s="1" t="s">
        <v>9</v>
      </c>
      <c r="C52">
        <v>66</v>
      </c>
      <c r="D52">
        <v>2136</v>
      </c>
      <c r="E52" s="1" t="s">
        <v>7</v>
      </c>
      <c r="F52" s="2">
        <v>86846</v>
      </c>
    </row>
    <row r="53" spans="1:6" x14ac:dyDescent="0.2">
      <c r="A53">
        <v>10017492</v>
      </c>
      <c r="B53" s="1" t="s">
        <v>9</v>
      </c>
      <c r="C53">
        <v>84</v>
      </c>
      <c r="D53">
        <v>2114</v>
      </c>
      <c r="E53" s="1" t="s">
        <v>7</v>
      </c>
      <c r="F53" s="2">
        <v>79080</v>
      </c>
    </row>
    <row r="54" spans="1:6" x14ac:dyDescent="0.2">
      <c r="A54">
        <v>10004422</v>
      </c>
      <c r="B54" s="1" t="s">
        <v>9</v>
      </c>
      <c r="C54">
        <v>78</v>
      </c>
      <c r="D54">
        <v>2111</v>
      </c>
      <c r="E54" s="1" t="s">
        <v>7</v>
      </c>
      <c r="F54" s="2"/>
    </row>
    <row r="55" spans="1:6" x14ac:dyDescent="0.2">
      <c r="A55">
        <v>10011398</v>
      </c>
      <c r="B55" s="1" t="s">
        <v>9</v>
      </c>
      <c r="C55">
        <v>67</v>
      </c>
      <c r="D55">
        <v>2146</v>
      </c>
      <c r="E55" s="1" t="s">
        <v>7</v>
      </c>
      <c r="F55" s="2"/>
    </row>
    <row r="56" spans="1:6" x14ac:dyDescent="0.2">
      <c r="A56">
        <v>10021938</v>
      </c>
      <c r="B56" s="1" t="s">
        <v>9</v>
      </c>
      <c r="C56">
        <v>65</v>
      </c>
      <c r="D56">
        <v>2181</v>
      </c>
      <c r="E56" s="1" t="s">
        <v>7</v>
      </c>
      <c r="F56" s="2">
        <v>103289</v>
      </c>
    </row>
    <row r="57" spans="1:6" x14ac:dyDescent="0.2">
      <c r="A57">
        <v>10009628</v>
      </c>
      <c r="B57" s="1" t="s">
        <v>9</v>
      </c>
      <c r="C57">
        <v>58</v>
      </c>
      <c r="D57">
        <v>2153</v>
      </c>
      <c r="E57" s="1" t="s">
        <v>7</v>
      </c>
      <c r="F57" s="2"/>
    </row>
    <row r="58" spans="1:6" x14ac:dyDescent="0.2">
      <c r="A58">
        <v>10004457</v>
      </c>
      <c r="B58" s="1" t="s">
        <v>9</v>
      </c>
      <c r="C58">
        <v>65</v>
      </c>
      <c r="D58">
        <v>2140</v>
      </c>
      <c r="E58" s="1" t="s">
        <v>7</v>
      </c>
      <c r="F58" s="2"/>
    </row>
    <row r="59" spans="1:6" x14ac:dyDescent="0.2">
      <c r="A59">
        <v>10015860</v>
      </c>
      <c r="B59" s="1" t="s">
        <v>9</v>
      </c>
      <c r="C59">
        <v>53</v>
      </c>
      <c r="D59">
        <v>2186</v>
      </c>
      <c r="E59" s="1" t="s">
        <v>7</v>
      </c>
      <c r="F59" s="2"/>
    </row>
    <row r="60" spans="1:6" x14ac:dyDescent="0.2">
      <c r="A60">
        <v>10021487</v>
      </c>
      <c r="B60" s="1" t="s">
        <v>9</v>
      </c>
      <c r="C60">
        <v>43</v>
      </c>
      <c r="D60">
        <v>2116</v>
      </c>
      <c r="E60" s="1" t="s">
        <v>7</v>
      </c>
      <c r="F60" s="2"/>
    </row>
    <row r="61" spans="1:6" x14ac:dyDescent="0.2">
      <c r="A61">
        <v>10013049</v>
      </c>
      <c r="B61" s="1" t="s">
        <v>9</v>
      </c>
      <c r="C61">
        <v>52</v>
      </c>
      <c r="D61">
        <v>2114</v>
      </c>
      <c r="E61" s="1" t="s">
        <v>7</v>
      </c>
      <c r="F61" s="2"/>
    </row>
    <row r="62" spans="1:6" x14ac:dyDescent="0.2">
      <c r="A62">
        <v>10026255</v>
      </c>
      <c r="B62" s="1" t="s">
        <v>9</v>
      </c>
      <c r="C62">
        <v>66</v>
      </c>
      <c r="D62">
        <v>2200</v>
      </c>
      <c r="E62" s="1" t="s">
        <v>7</v>
      </c>
      <c r="F62" s="2">
        <v>110133</v>
      </c>
    </row>
    <row r="63" spans="1:6" x14ac:dyDescent="0.2">
      <c r="A63">
        <v>10023771</v>
      </c>
      <c r="B63" s="1" t="s">
        <v>9</v>
      </c>
      <c r="C63">
        <v>70</v>
      </c>
      <c r="D63">
        <v>2113</v>
      </c>
      <c r="E63" s="1" t="s">
        <v>7</v>
      </c>
      <c r="F63" s="2"/>
    </row>
    <row r="64" spans="1:6" x14ac:dyDescent="0.2">
      <c r="A64">
        <v>10023117</v>
      </c>
      <c r="B64" s="1" t="s">
        <v>9</v>
      </c>
      <c r="C64">
        <v>53</v>
      </c>
      <c r="D64">
        <v>2170</v>
      </c>
      <c r="E64" s="1" t="s">
        <v>7</v>
      </c>
      <c r="F64" s="2">
        <v>100644</v>
      </c>
    </row>
    <row r="65" spans="1:6" x14ac:dyDescent="0.2">
      <c r="A65">
        <v>10022041</v>
      </c>
      <c r="B65" s="1" t="s">
        <v>9</v>
      </c>
      <c r="C65">
        <v>64</v>
      </c>
      <c r="D65">
        <v>2187</v>
      </c>
      <c r="E65" s="1" t="s">
        <v>7</v>
      </c>
      <c r="F65" s="2"/>
    </row>
    <row r="66" spans="1:6" x14ac:dyDescent="0.2">
      <c r="A66">
        <v>10005348</v>
      </c>
      <c r="B66" s="1" t="s">
        <v>9</v>
      </c>
      <c r="C66">
        <v>76</v>
      </c>
      <c r="D66">
        <v>2128</v>
      </c>
      <c r="E66" s="1" t="s">
        <v>7</v>
      </c>
      <c r="F66" s="2"/>
    </row>
    <row r="67" spans="1:6" x14ac:dyDescent="0.2">
      <c r="A67">
        <v>10009035</v>
      </c>
      <c r="B67" s="1" t="s">
        <v>9</v>
      </c>
      <c r="C67">
        <v>28</v>
      </c>
      <c r="D67">
        <v>2161</v>
      </c>
      <c r="E67" s="1" t="s">
        <v>7</v>
      </c>
      <c r="F67" s="2"/>
    </row>
    <row r="68" spans="1:6" x14ac:dyDescent="0.2">
      <c r="A68">
        <v>10018081</v>
      </c>
      <c r="B68" s="1" t="s">
        <v>9</v>
      </c>
      <c r="C68">
        <v>79</v>
      </c>
      <c r="D68">
        <v>2133</v>
      </c>
      <c r="E68" s="1" t="s">
        <v>7</v>
      </c>
      <c r="F68" s="2">
        <v>85769</v>
      </c>
    </row>
    <row r="69" spans="1:6" x14ac:dyDescent="0.2">
      <c r="A69">
        <v>10038933</v>
      </c>
      <c r="B69" s="1" t="s">
        <v>9</v>
      </c>
      <c r="C69">
        <v>34</v>
      </c>
      <c r="D69">
        <v>2148</v>
      </c>
      <c r="E69" s="1" t="s">
        <v>7</v>
      </c>
      <c r="F69" s="2"/>
    </row>
    <row r="70" spans="1:6" x14ac:dyDescent="0.2">
      <c r="A70">
        <v>10037975</v>
      </c>
      <c r="B70" s="1" t="s">
        <v>9</v>
      </c>
      <c r="C70">
        <v>60</v>
      </c>
      <c r="D70">
        <v>2185</v>
      </c>
      <c r="E70" s="1" t="s">
        <v>8</v>
      </c>
      <c r="F70" s="2">
        <v>104118</v>
      </c>
    </row>
    <row r="71" spans="1:6" x14ac:dyDescent="0.2">
      <c r="A71">
        <v>10035185</v>
      </c>
      <c r="B71" s="1" t="s">
        <v>9</v>
      </c>
      <c r="C71">
        <v>70</v>
      </c>
      <c r="D71">
        <v>2120</v>
      </c>
      <c r="E71" s="1" t="s">
        <v>8</v>
      </c>
      <c r="F71" s="2"/>
    </row>
    <row r="72" spans="1:6" x14ac:dyDescent="0.2">
      <c r="A72">
        <v>10014354</v>
      </c>
      <c r="B72" s="1" t="s">
        <v>9</v>
      </c>
      <c r="C72">
        <v>60</v>
      </c>
      <c r="D72">
        <v>2146</v>
      </c>
      <c r="E72" s="1" t="s">
        <v>8</v>
      </c>
      <c r="F72" s="2"/>
    </row>
    <row r="73" spans="1:6" x14ac:dyDescent="0.2">
      <c r="A73">
        <v>10022880</v>
      </c>
      <c r="B73" s="1" t="s">
        <v>9</v>
      </c>
      <c r="C73">
        <v>66</v>
      </c>
      <c r="D73">
        <v>2177</v>
      </c>
      <c r="E73" s="1" t="s">
        <v>8</v>
      </c>
      <c r="F73" s="2"/>
    </row>
    <row r="74" spans="1:6" x14ac:dyDescent="0.2">
      <c r="A74">
        <v>10004720</v>
      </c>
      <c r="B74" s="1" t="s">
        <v>9</v>
      </c>
      <c r="C74">
        <v>61</v>
      </c>
      <c r="D74">
        <v>2183</v>
      </c>
      <c r="E74" s="1" t="s">
        <v>8</v>
      </c>
      <c r="F74" s="2">
        <v>104782</v>
      </c>
    </row>
    <row r="75" spans="1:6" x14ac:dyDescent="0.2">
      <c r="A75">
        <v>10019385</v>
      </c>
      <c r="B75" s="1" t="s">
        <v>9</v>
      </c>
      <c r="C75">
        <v>44</v>
      </c>
      <c r="D75">
        <v>2180</v>
      </c>
      <c r="E75" s="1" t="s">
        <v>8</v>
      </c>
      <c r="F75" s="2"/>
    </row>
    <row r="76" spans="1:6" x14ac:dyDescent="0.2">
      <c r="A76">
        <v>10029484</v>
      </c>
      <c r="B76" s="1" t="s">
        <v>9</v>
      </c>
      <c r="C76">
        <v>64</v>
      </c>
      <c r="D76">
        <v>2160</v>
      </c>
      <c r="E76" s="1" t="s">
        <v>8</v>
      </c>
      <c r="F76" s="2"/>
    </row>
    <row r="77" spans="1:6" x14ac:dyDescent="0.2">
      <c r="A77">
        <v>10037861</v>
      </c>
      <c r="B77" s="1" t="s">
        <v>9</v>
      </c>
      <c r="C77">
        <v>77</v>
      </c>
      <c r="D77">
        <v>2115</v>
      </c>
      <c r="E77" s="1" t="s">
        <v>8</v>
      </c>
      <c r="F77" s="2">
        <v>79342</v>
      </c>
    </row>
    <row r="78" spans="1:6" x14ac:dyDescent="0.2">
      <c r="A78">
        <v>10026406</v>
      </c>
      <c r="B78" s="1" t="s">
        <v>9</v>
      </c>
      <c r="C78">
        <v>45</v>
      </c>
      <c r="D78">
        <v>2129</v>
      </c>
      <c r="E78" s="1" t="s">
        <v>8</v>
      </c>
      <c r="F78" s="2"/>
    </row>
    <row r="79" spans="1:6" x14ac:dyDescent="0.2">
      <c r="A79">
        <v>10007818</v>
      </c>
      <c r="B79" s="1" t="s">
        <v>9</v>
      </c>
      <c r="C79">
        <v>69</v>
      </c>
      <c r="D79">
        <v>2146</v>
      </c>
      <c r="E79" s="1" t="s">
        <v>8</v>
      </c>
      <c r="F79" s="2">
        <v>90044</v>
      </c>
    </row>
    <row r="80" spans="1:6" x14ac:dyDescent="0.2">
      <c r="A80">
        <v>10020740</v>
      </c>
      <c r="B80" s="1" t="s">
        <v>9</v>
      </c>
      <c r="C80">
        <v>56</v>
      </c>
      <c r="D80">
        <v>2150</v>
      </c>
      <c r="E80" s="1" t="s">
        <v>8</v>
      </c>
      <c r="F80" s="2"/>
    </row>
    <row r="81" spans="1:6" x14ac:dyDescent="0.2">
      <c r="A81">
        <v>10038999</v>
      </c>
      <c r="B81" s="1" t="s">
        <v>9</v>
      </c>
      <c r="C81">
        <v>45</v>
      </c>
      <c r="D81">
        <v>2131</v>
      </c>
      <c r="E81" s="1" t="s">
        <v>8</v>
      </c>
      <c r="F81" s="2"/>
    </row>
    <row r="82" spans="1:6" x14ac:dyDescent="0.2">
      <c r="A82">
        <v>10004235</v>
      </c>
      <c r="B82" s="1" t="s">
        <v>9</v>
      </c>
      <c r="C82">
        <v>47</v>
      </c>
      <c r="D82">
        <v>2196</v>
      </c>
      <c r="E82" s="1" t="s">
        <v>8</v>
      </c>
      <c r="F82" s="2"/>
    </row>
    <row r="83" spans="1:6" x14ac:dyDescent="0.2">
      <c r="A83">
        <v>10022017</v>
      </c>
      <c r="B83" s="1" t="s">
        <v>9</v>
      </c>
      <c r="C83">
        <v>59</v>
      </c>
      <c r="D83">
        <v>2189</v>
      </c>
      <c r="E83" s="1" t="s">
        <v>8</v>
      </c>
      <c r="F83" s="2"/>
    </row>
    <row r="84" spans="1:6" x14ac:dyDescent="0.2">
      <c r="A84">
        <v>10002495</v>
      </c>
      <c r="B84" s="1" t="s">
        <v>9</v>
      </c>
      <c r="C84">
        <v>81</v>
      </c>
      <c r="D84">
        <v>2141</v>
      </c>
      <c r="E84" s="1" t="s">
        <v>8</v>
      </c>
      <c r="F84" s="2"/>
    </row>
    <row r="85" spans="1:6" x14ac:dyDescent="0.2">
      <c r="A85">
        <v>10018845</v>
      </c>
      <c r="B85" s="1" t="s">
        <v>9</v>
      </c>
      <c r="C85">
        <v>91</v>
      </c>
      <c r="D85">
        <v>2184</v>
      </c>
      <c r="E85" s="1" t="s">
        <v>8</v>
      </c>
      <c r="F85" s="2">
        <v>104057</v>
      </c>
    </row>
    <row r="86" spans="1:6" x14ac:dyDescent="0.2">
      <c r="A86">
        <v>10020944</v>
      </c>
      <c r="B86" s="1" t="s">
        <v>9</v>
      </c>
      <c r="C86">
        <v>72</v>
      </c>
      <c r="D86">
        <v>2131</v>
      </c>
      <c r="E86" s="1" t="s">
        <v>8</v>
      </c>
      <c r="F86" s="2">
        <v>84490</v>
      </c>
    </row>
    <row r="87" spans="1:6" x14ac:dyDescent="0.2">
      <c r="A87">
        <v>10016150</v>
      </c>
      <c r="B87" s="1" t="s">
        <v>9</v>
      </c>
      <c r="C87">
        <v>69</v>
      </c>
      <c r="D87">
        <v>2142</v>
      </c>
      <c r="E87" s="1" t="s">
        <v>8</v>
      </c>
      <c r="F87" s="2"/>
    </row>
    <row r="88" spans="1:6" x14ac:dyDescent="0.2">
      <c r="A88">
        <v>10005866</v>
      </c>
      <c r="B88" s="1" t="s">
        <v>9</v>
      </c>
      <c r="C88">
        <v>57</v>
      </c>
      <c r="D88">
        <v>2146</v>
      </c>
      <c r="E88" s="1" t="s">
        <v>8</v>
      </c>
      <c r="F88" s="2">
        <v>91272</v>
      </c>
    </row>
    <row r="89" spans="1:6" x14ac:dyDescent="0.2">
      <c r="A89">
        <v>10026354</v>
      </c>
      <c r="B89" s="1" t="s">
        <v>9</v>
      </c>
      <c r="C89">
        <v>34</v>
      </c>
      <c r="D89">
        <v>2119</v>
      </c>
      <c r="E89" s="1" t="s">
        <v>8</v>
      </c>
      <c r="F89" s="2"/>
    </row>
    <row r="90" spans="1:6" x14ac:dyDescent="0.2">
      <c r="A90">
        <v>10019917</v>
      </c>
      <c r="B90" s="1" t="s">
        <v>9</v>
      </c>
      <c r="C90">
        <v>44</v>
      </c>
      <c r="D90">
        <v>2182</v>
      </c>
      <c r="E90" s="1" t="s">
        <v>8</v>
      </c>
      <c r="F90" s="2"/>
    </row>
    <row r="91" spans="1:6" x14ac:dyDescent="0.2">
      <c r="A91">
        <v>10019777</v>
      </c>
      <c r="B91" s="1" t="s">
        <v>9</v>
      </c>
      <c r="C91">
        <v>51</v>
      </c>
      <c r="D91">
        <v>2187</v>
      </c>
      <c r="E91" s="1" t="s">
        <v>8</v>
      </c>
      <c r="F91" s="2">
        <v>104945</v>
      </c>
    </row>
    <row r="92" spans="1:6" x14ac:dyDescent="0.2">
      <c r="A92">
        <v>10005817</v>
      </c>
      <c r="B92" s="1" t="s">
        <v>9</v>
      </c>
      <c r="C92">
        <v>66</v>
      </c>
      <c r="D92">
        <v>2132</v>
      </c>
      <c r="E92" s="1" t="s">
        <v>8</v>
      </c>
      <c r="F92" s="2">
        <v>85852</v>
      </c>
    </row>
    <row r="93" spans="1:6" x14ac:dyDescent="0.2">
      <c r="A93">
        <v>10009049</v>
      </c>
      <c r="B93" s="1" t="s">
        <v>9</v>
      </c>
      <c r="C93">
        <v>56</v>
      </c>
      <c r="D93">
        <v>2174</v>
      </c>
      <c r="E93" s="1" t="s">
        <v>8</v>
      </c>
      <c r="F93" s="2"/>
    </row>
    <row r="94" spans="1:6" x14ac:dyDescent="0.2">
      <c r="A94">
        <v>10015931</v>
      </c>
      <c r="B94" s="1" t="s">
        <v>9</v>
      </c>
      <c r="C94">
        <v>87</v>
      </c>
      <c r="D94">
        <v>2176</v>
      </c>
      <c r="E94" s="1" t="s">
        <v>8</v>
      </c>
      <c r="F94" s="2">
        <v>101262</v>
      </c>
    </row>
    <row r="95" spans="1:6" x14ac:dyDescent="0.2">
      <c r="A95">
        <v>10006053</v>
      </c>
      <c r="B95" s="1" t="s">
        <v>9</v>
      </c>
      <c r="C95">
        <v>52</v>
      </c>
      <c r="D95">
        <v>2111</v>
      </c>
      <c r="E95" s="1" t="s">
        <v>8</v>
      </c>
      <c r="F95" s="2">
        <v>77386</v>
      </c>
    </row>
    <row r="96" spans="1:6" x14ac:dyDescent="0.2">
      <c r="A96">
        <v>10012552</v>
      </c>
      <c r="B96" s="1" t="s">
        <v>9</v>
      </c>
      <c r="C96">
        <v>78</v>
      </c>
      <c r="D96">
        <v>2140</v>
      </c>
      <c r="E96" s="1" t="s">
        <v>8</v>
      </c>
      <c r="F96" s="2"/>
    </row>
    <row r="97" spans="1:6" x14ac:dyDescent="0.2">
      <c r="A97">
        <v>10004733</v>
      </c>
      <c r="B97" s="1" t="s">
        <v>9</v>
      </c>
      <c r="C97">
        <v>51</v>
      </c>
      <c r="D97">
        <v>2174</v>
      </c>
      <c r="E97" s="1" t="s">
        <v>8</v>
      </c>
      <c r="F97" s="2"/>
    </row>
    <row r="98" spans="1:6" x14ac:dyDescent="0.2">
      <c r="A98">
        <v>10021118</v>
      </c>
      <c r="B98" s="1" t="s">
        <v>9</v>
      </c>
      <c r="C98">
        <v>62</v>
      </c>
      <c r="D98">
        <v>2161</v>
      </c>
      <c r="E98" s="1" t="s">
        <v>8</v>
      </c>
      <c r="F98" s="2"/>
    </row>
    <row r="99" spans="1:6" x14ac:dyDescent="0.2">
      <c r="A99">
        <v>10018501</v>
      </c>
      <c r="B99" s="1" t="s">
        <v>9</v>
      </c>
      <c r="C99">
        <v>83</v>
      </c>
      <c r="D99">
        <v>2141</v>
      </c>
      <c r="E99" s="1" t="s">
        <v>8</v>
      </c>
      <c r="F99" s="2"/>
    </row>
    <row r="100" spans="1:6" x14ac:dyDescent="0.2">
      <c r="A100">
        <v>10007058</v>
      </c>
      <c r="B100" s="1" t="s">
        <v>9</v>
      </c>
      <c r="C100">
        <v>48</v>
      </c>
      <c r="D100">
        <v>2167</v>
      </c>
      <c r="E100" s="1" t="s">
        <v>8</v>
      </c>
      <c r="F100" s="2"/>
    </row>
    <row r="101" spans="1:6" x14ac:dyDescent="0.2">
      <c r="A101">
        <v>10038992</v>
      </c>
      <c r="B101" s="1" t="s">
        <v>9</v>
      </c>
      <c r="C101">
        <v>70</v>
      </c>
      <c r="D101">
        <v>2185</v>
      </c>
      <c r="E101" s="1" t="s">
        <v>8</v>
      </c>
      <c r="F101" s="2"/>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4717-E5C6-C14F-AC04-0C325C34F9F6}">
  <sheetPr>
    <pageSetUpPr autoPageBreaks="0"/>
  </sheetPr>
  <dimension ref="A1:H23"/>
  <sheetViews>
    <sheetView showGridLines="0" showRowColHeaders="0" tabSelected="1" zoomScaleNormal="100" workbookViewId="0">
      <selection activeCell="N18" sqref="N18"/>
    </sheetView>
  </sheetViews>
  <sheetFormatPr baseColWidth="10" defaultRowHeight="16" x14ac:dyDescent="0.2"/>
  <sheetData>
    <row r="1" spans="1:8" ht="16" customHeight="1" x14ac:dyDescent="0.2">
      <c r="A1" s="7" t="s">
        <v>1731</v>
      </c>
      <c r="B1" s="7"/>
      <c r="C1" s="7"/>
      <c r="D1" s="7"/>
      <c r="E1" s="7"/>
      <c r="F1" s="7"/>
      <c r="G1" s="7"/>
      <c r="H1" s="7"/>
    </row>
    <row r="2" spans="1:8" ht="16" customHeight="1" x14ac:dyDescent="0.2">
      <c r="A2" s="7"/>
      <c r="B2" s="7"/>
      <c r="C2" s="7"/>
      <c r="D2" s="7"/>
      <c r="E2" s="7"/>
      <c r="F2" s="7"/>
      <c r="G2" s="7"/>
      <c r="H2" s="7"/>
    </row>
    <row r="5" spans="1:8" ht="22" x14ac:dyDescent="0.3">
      <c r="A5" s="8" t="s">
        <v>1732</v>
      </c>
      <c r="B5" s="8"/>
      <c r="C5" s="8" t="s">
        <v>1733</v>
      </c>
      <c r="D5" s="9"/>
      <c r="E5" s="10" t="s">
        <v>1734</v>
      </c>
      <c r="F5" s="11"/>
    </row>
    <row r="6" spans="1:8" ht="16" customHeight="1" x14ac:dyDescent="0.2">
      <c r="A6" s="12">
        <f>COUNTA(admissions!B:B)</f>
        <v>276</v>
      </c>
      <c r="B6" s="12"/>
      <c r="C6" s="12">
        <f>SUM(admissions[hospital_expire_flag])</f>
        <v>15</v>
      </c>
      <c r="D6" s="12"/>
      <c r="E6" s="13">
        <f>AVERAGE(admissions[hospital_expire_flag])</f>
        <v>5.4545454545454543E-2</v>
      </c>
      <c r="F6" s="13"/>
    </row>
    <row r="7" spans="1:8" ht="16" customHeight="1" x14ac:dyDescent="0.2">
      <c r="A7" s="12"/>
      <c r="B7" s="12"/>
      <c r="C7" s="12"/>
      <c r="D7" s="12"/>
      <c r="E7" s="13"/>
      <c r="F7" s="13"/>
    </row>
    <row r="8" spans="1:8" x14ac:dyDescent="0.2">
      <c r="A8" s="12"/>
      <c r="B8" s="12"/>
      <c r="C8" s="12"/>
      <c r="D8" s="12"/>
      <c r="E8" s="13"/>
      <c r="F8" s="13"/>
    </row>
    <row r="22" spans="1:8" x14ac:dyDescent="0.2">
      <c r="A22" s="14" t="s">
        <v>1735</v>
      </c>
      <c r="B22" s="14"/>
      <c r="C22" s="14"/>
      <c r="D22" s="14"/>
      <c r="E22" s="14"/>
      <c r="F22" s="14"/>
      <c r="G22" s="14"/>
      <c r="H22" s="14"/>
    </row>
    <row r="23" spans="1:8" ht="19" customHeight="1" x14ac:dyDescent="0.2">
      <c r="A23" s="14"/>
      <c r="B23" s="14"/>
      <c r="C23" s="14"/>
      <c r="D23" s="14"/>
      <c r="E23" s="14"/>
      <c r="F23" s="14"/>
      <c r="G23" s="14"/>
      <c r="H23" s="14"/>
    </row>
  </sheetData>
  <mergeCells count="7">
    <mergeCell ref="C6:D8"/>
    <mergeCell ref="E6:F8"/>
    <mergeCell ref="A22:H23"/>
    <mergeCell ref="A5:B5"/>
    <mergeCell ref="C5:D5"/>
    <mergeCell ref="A1:H2"/>
    <mergeCell ref="A6:B8"/>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5A2B6D-BBC3-914F-AC52-B0F8C1E7D4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diagnoses_icd</vt:lpstr>
      <vt:lpstr>Mortality_Analysis</vt:lpstr>
      <vt:lpstr>top_diseases</vt:lpstr>
      <vt:lpstr>admissions</vt:lpstr>
      <vt:lpstr>patients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Ponnaganti</dc:creator>
  <cp:lastModifiedBy>Varsha Ponnaganti</cp:lastModifiedBy>
  <dcterms:created xsi:type="dcterms:W3CDTF">2026-04-05T20:41:13Z</dcterms:created>
  <dcterms:modified xsi:type="dcterms:W3CDTF">2026-04-05T22:01:12Z</dcterms:modified>
</cp:coreProperties>
</file>